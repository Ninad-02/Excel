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EXT GIT\"/>
    </mc:Choice>
  </mc:AlternateContent>
  <xr:revisionPtr revIDLastSave="0" documentId="8_{A6FB8B0D-27BE-43DB-9F34-0F7FB0DEA1CB}" xr6:coauthVersionLast="47" xr6:coauthVersionMax="47" xr10:uidLastSave="{00000000-0000-0000-0000-000000000000}"/>
  <bookViews>
    <workbookView xWindow="-108" yWindow="-108" windowWidth="23256" windowHeight="12456" xr2:uid="{C79F5746-D12D-4FD3-B72E-CA0209D2E9E5}"/>
  </bookViews>
  <sheets>
    <sheet name="Sheet1" sheetId="1" r:id="rId1"/>
  </sheets>
  <definedNames>
    <definedName name="_xlchart.v1.0" hidden="1">Sheet1!$A$26:$A$35</definedName>
    <definedName name="_xlchart.v1.1" hidden="1">Sheet1!$B$25</definedName>
    <definedName name="_xlchart.v1.2" hidden="1">Sheet1!$B$26:$B$35</definedName>
    <definedName name="_xlchart.v1.3" hidden="1">Sheet1!$A$42:$B$57</definedName>
    <definedName name="_xlchart.v1.4" hidden="1">Sheet1!$C$41</definedName>
    <definedName name="_xlchart.v1.5" hidden="1">Sheet1!$C$42:$C$57</definedName>
    <definedName name="_xlchart.v1.6" hidden="1">Sheet1!$A$42:$B$57</definedName>
    <definedName name="_xlchart.v1.7" hidden="1">Sheet1!$C$41</definedName>
    <definedName name="_xlchart.v1.8" hidden="1">Sheet1!$C$42:$C$57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0" i="1" l="1"/>
  <c r="C70" i="1"/>
  <c r="D70" i="1"/>
  <c r="E70" i="1"/>
</calcChain>
</file>

<file path=xl/sharedStrings.xml><?xml version="1.0" encoding="utf-8"?>
<sst xmlns="http://schemas.openxmlformats.org/spreadsheetml/2006/main" count="78" uniqueCount="65">
  <si>
    <t>Student</t>
  </si>
  <si>
    <t>Hours Studied (X)</t>
  </si>
  <si>
    <t>Exam Score (%) (Y)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</si>
  <si>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</si>
  <si>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</si>
  <si>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</si>
  <si>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</si>
  <si>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</si>
  <si>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</si>
  <si>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</si>
  <si>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</si>
  <si>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</si>
  <si>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</si>
  <si>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</si>
  <si>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</si>
  <si>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</si>
  <si>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</si>
  <si>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</si>
  <si>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Row Labels</t>
  </si>
  <si>
    <t>Grand Total</t>
  </si>
  <si>
    <t>Sum of Exam Score (%) (Y)</t>
  </si>
  <si>
    <t>Category</t>
  </si>
  <si>
    <t>Amount (₹)</t>
  </si>
  <si>
    <t>Opening Balance</t>
  </si>
  <si>
    <t>Sales Revenue</t>
  </si>
  <si>
    <t>Service Revenue</t>
  </si>
  <si>
    <t>Rent Expense</t>
  </si>
  <si>
    <t>Salaries</t>
  </si>
  <si>
    <t>Utilities</t>
  </si>
  <si>
    <t>Marketing Expense</t>
  </si>
  <si>
    <t>Other Income</t>
  </si>
  <si>
    <t>Tax</t>
  </si>
  <si>
    <t>Closing Balance</t>
  </si>
  <si>
    <t>Product</t>
  </si>
  <si>
    <t>Sales (₹)</t>
  </si>
  <si>
    <t>Electronics</t>
  </si>
  <si>
    <t>Laptop</t>
  </si>
  <si>
    <t>Smartphone</t>
  </si>
  <si>
    <t>Tablet</t>
  </si>
  <si>
    <t>Smart Watch</t>
  </si>
  <si>
    <t>Furniture</t>
  </si>
  <si>
    <t>Sofa</t>
  </si>
  <si>
    <t>Dining Table</t>
  </si>
  <si>
    <t>Office Chair</t>
  </si>
  <si>
    <t>Bed</t>
  </si>
  <si>
    <t>Clothing</t>
  </si>
  <si>
    <t>Men's Wear</t>
  </si>
  <si>
    <t>Women's Wear</t>
  </si>
  <si>
    <t>Kids Wear</t>
  </si>
  <si>
    <t>Footwear</t>
  </si>
  <si>
    <t>Grocery</t>
  </si>
  <si>
    <t>Fruits</t>
  </si>
  <si>
    <t>Vegetables</t>
  </si>
  <si>
    <t>Dairy</t>
  </si>
  <si>
    <t>Beverages</t>
  </si>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</sst>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* #,##0_-;\-* #,##0_-;_-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u/>
      <sz val="14"/>
      <color indexed="1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indent="1"/>
    </xf>
    <xf numFmtId="169" fontId="2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69" fontId="3" fillId="2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Hours Studied 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Sheet1!$A$2:$A$16</c:f>
              <c:strCache>
                <c:ptCount val="1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</c:strCache>
            </c:str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3E-4056-BFBB-FEBEF4BA166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Exam Score (%) 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Sheet1!$A$2:$A$16</c:f>
              <c:strCache>
                <c:ptCount val="1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</c:strCache>
            </c:strRef>
          </c:xVal>
          <c:yVal>
            <c:numRef>
              <c:f>Sheet1!$C$2:$C$16</c:f>
              <c:numCache>
                <c:formatCode>General</c:formatCode>
                <c:ptCount val="15"/>
                <c:pt idx="0">
                  <c:v>42</c:v>
                </c:pt>
                <c:pt idx="1">
                  <c:v>48</c:v>
                </c:pt>
                <c:pt idx="2">
                  <c:v>52</c:v>
                </c:pt>
                <c:pt idx="3">
                  <c:v>57</c:v>
                </c:pt>
                <c:pt idx="4">
                  <c:v>61</c:v>
                </c:pt>
                <c:pt idx="5">
                  <c:v>66</c:v>
                </c:pt>
                <c:pt idx="6">
                  <c:v>69</c:v>
                </c:pt>
                <c:pt idx="7">
                  <c:v>74</c:v>
                </c:pt>
                <c:pt idx="8">
                  <c:v>78</c:v>
                </c:pt>
                <c:pt idx="9">
                  <c:v>82</c:v>
                </c:pt>
                <c:pt idx="10">
                  <c:v>85</c:v>
                </c:pt>
                <c:pt idx="11">
                  <c:v>89</c:v>
                </c:pt>
                <c:pt idx="12">
                  <c:v>91</c:v>
                </c:pt>
                <c:pt idx="13">
                  <c:v>94</c:v>
                </c:pt>
                <c:pt idx="14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E-4056-BFBB-FEBEF4BA1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634799"/>
        <c:axId val="1817645839"/>
      </c:scatterChart>
      <c:valAx>
        <c:axId val="181763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645839"/>
        <c:crosses val="autoZero"/>
        <c:crossBetween val="midCat"/>
      </c:valAx>
      <c:valAx>
        <c:axId val="181764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63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Profit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Profit Analysis</a:t>
          </a:r>
        </a:p>
      </cx:txPr>
    </cx:title>
    <cx:plotArea>
      <cx:plotAreaRegion>
        <cx:series layoutId="waterfall" uniqueId="{00000000-2E44-4318-8D58-4434E79488AF}">
          <cx:tx>
            <cx:txData>
              <cx:f>_xlchart.v1.1</cx:f>
              <cx:v>Amount (₹)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0-CB04-4A74-9E19-22FD9A8A3701}">
          <cx:tx>
            <cx:txData>
              <cx:f>_xlchart.v1.7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4</xdr:row>
      <xdr:rowOff>148590</xdr:rowOff>
    </xdr:from>
    <xdr:to>
      <xdr:col>13</xdr:col>
      <xdr:colOff>198120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8BD528-0E3A-98BD-3A05-9548E027D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23</xdr:row>
      <xdr:rowOff>11430</xdr:rowOff>
    </xdr:from>
    <xdr:to>
      <xdr:col>9</xdr:col>
      <xdr:colOff>502920</xdr:colOff>
      <xdr:row>36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F8535E-2EF0-07B6-7CA4-42718FFB79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6580" y="45834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754380</xdr:colOff>
      <xdr:row>40</xdr:row>
      <xdr:rowOff>3810</xdr:rowOff>
    </xdr:from>
    <xdr:to>
      <xdr:col>9</xdr:col>
      <xdr:colOff>419100</xdr:colOff>
      <xdr:row>50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6A05199-71C5-502D-18DC-947B4B0F35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2760" y="78828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3.501278819444" createdVersion="8" refreshedVersion="8" minRefreshableVersion="3" recordCount="15" xr:uid="{6E0D9085-2398-4ABC-BE4E-2CD55EC97FBA}">
  <cacheSource type="worksheet">
    <worksheetSource ref="B1:C16" sheet="Sheet1"/>
  </cacheSource>
  <cacheFields count="2">
    <cacheField name="Hours Studied (X)" numFmtId="0">
      <sharedItems containsSemiMixedTypes="0" containsString="0" containsNumber="1" minValue="1" maxValue="9" count="15">
        <n v="1"/>
        <n v="2"/>
        <n v="2.5"/>
        <n v="3"/>
        <n v="3.5"/>
        <n v="4"/>
        <n v="4.5"/>
        <n v="5"/>
        <n v="5.5"/>
        <n v="6"/>
        <n v="6.5"/>
        <n v="7"/>
        <n v="7.5"/>
        <n v="8"/>
        <n v="9"/>
      </sharedItems>
    </cacheField>
    <cacheField name="Exam Score (%) (Y)" numFmtId="0">
      <sharedItems containsSemiMixedTypes="0" containsString="0" containsNumber="1" containsInteger="1" minValue="42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42"/>
  </r>
  <r>
    <x v="1"/>
    <n v="48"/>
  </r>
  <r>
    <x v="2"/>
    <n v="52"/>
  </r>
  <r>
    <x v="3"/>
    <n v="57"/>
  </r>
  <r>
    <x v="4"/>
    <n v="61"/>
  </r>
  <r>
    <x v="5"/>
    <n v="66"/>
  </r>
  <r>
    <x v="6"/>
    <n v="69"/>
  </r>
  <r>
    <x v="7"/>
    <n v="74"/>
  </r>
  <r>
    <x v="8"/>
    <n v="78"/>
  </r>
  <r>
    <x v="9"/>
    <n v="82"/>
  </r>
  <r>
    <x v="10"/>
    <n v="85"/>
  </r>
  <r>
    <x v="11"/>
    <n v="89"/>
  </r>
  <r>
    <x v="12"/>
    <n v="91"/>
  </r>
  <r>
    <x v="13"/>
    <n v="94"/>
  </r>
  <r>
    <x v="14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8D5D8-9977-4534-AAB7-7604461811C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21" firstHeaderRow="1" firstDataRow="1" firstDataCol="1"/>
  <pivotFields count="2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Exam Score (%) (Y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125E-BDD6-4AE2-BB36-5A22F0D1C255}">
  <dimension ref="A1:L70"/>
  <sheetViews>
    <sheetView tabSelected="1" workbookViewId="0">
      <selection activeCell="L1" sqref="L1"/>
    </sheetView>
  </sheetViews>
  <sheetFormatPr defaultRowHeight="14.4"/>
  <cols>
    <col min="1" max="1" width="16.44140625" bestFit="1" customWidth="1"/>
    <col min="2" max="2" width="7.88671875" bestFit="1" customWidth="1"/>
    <col min="4" max="4" width="12.5546875" bestFit="1" customWidth="1"/>
    <col min="5" max="5" width="23.44140625" bestFit="1" customWidth="1"/>
  </cols>
  <sheetData>
    <row r="1" spans="1:5" ht="43.2">
      <c r="A1" s="2" t="s">
        <v>0</v>
      </c>
      <c r="B1" s="3" t="s">
        <v>1</v>
      </c>
      <c r="C1" s="3" t="s">
        <v>2</v>
      </c>
    </row>
    <row r="2" spans="1:5">
      <c r="A2" s="4" t="s">
        <v>3</v>
      </c>
      <c r="B2" s="5">
        <v>1</v>
      </c>
      <c r="C2" s="5">
        <v>42</v>
      </c>
    </row>
    <row r="3" spans="1:5">
      <c r="A3" s="4" t="s">
        <v>4</v>
      </c>
      <c r="B3" s="5">
        <v>2</v>
      </c>
      <c r="C3" s="5">
        <v>48</v>
      </c>
    </row>
    <row r="4" spans="1:5">
      <c r="A4" s="4" t="s">
        <v>5</v>
      </c>
      <c r="B4" s="5">
        <v>2.5</v>
      </c>
      <c r="C4" s="5">
        <v>52</v>
      </c>
    </row>
    <row r="5" spans="1:5">
      <c r="A5" s="4" t="s">
        <v>6</v>
      </c>
      <c r="B5" s="5">
        <v>3</v>
      </c>
      <c r="C5" s="5">
        <v>57</v>
      </c>
      <c r="D5" s="6" t="s">
        <v>18</v>
      </c>
      <c r="E5" t="s">
        <v>20</v>
      </c>
    </row>
    <row r="6" spans="1:5">
      <c r="A6" s="4" t="s">
        <v>7</v>
      </c>
      <c r="B6" s="5">
        <v>3.5</v>
      </c>
      <c r="C6" s="5">
        <v>61</v>
      </c>
      <c r="D6" s="7">
        <v>1</v>
      </c>
      <c r="E6" s="8">
        <v>42</v>
      </c>
    </row>
    <row r="7" spans="1:5">
      <c r="A7" s="4" t="s">
        <v>8</v>
      </c>
      <c r="B7" s="5">
        <v>4</v>
      </c>
      <c r="C7" s="5">
        <v>66</v>
      </c>
      <c r="D7" s="7">
        <v>2</v>
      </c>
      <c r="E7" s="8">
        <v>48</v>
      </c>
    </row>
    <row r="8" spans="1:5">
      <c r="A8" s="4" t="s">
        <v>9</v>
      </c>
      <c r="B8" s="5">
        <v>4.5</v>
      </c>
      <c r="C8" s="5">
        <v>69</v>
      </c>
      <c r="D8" s="7">
        <v>2.5</v>
      </c>
      <c r="E8" s="8">
        <v>52</v>
      </c>
    </row>
    <row r="9" spans="1:5">
      <c r="A9" s="4" t="s">
        <v>10</v>
      </c>
      <c r="B9" s="5">
        <v>5</v>
      </c>
      <c r="C9" s="5">
        <v>74</v>
      </c>
      <c r="D9" s="7">
        <v>3</v>
      </c>
      <c r="E9" s="8">
        <v>57</v>
      </c>
    </row>
    <row r="10" spans="1:5">
      <c r="A10" s="4" t="s">
        <v>11</v>
      </c>
      <c r="B10" s="5">
        <v>5.5</v>
      </c>
      <c r="C10" s="5">
        <v>78</v>
      </c>
      <c r="D10" s="7">
        <v>3.5</v>
      </c>
      <c r="E10" s="8">
        <v>61</v>
      </c>
    </row>
    <row r="11" spans="1:5">
      <c r="A11" s="4" t="s">
        <v>12</v>
      </c>
      <c r="B11" s="5">
        <v>6</v>
      </c>
      <c r="C11" s="5">
        <v>82</v>
      </c>
      <c r="D11" s="7">
        <v>4</v>
      </c>
      <c r="E11" s="8">
        <v>66</v>
      </c>
    </row>
    <row r="12" spans="1:5">
      <c r="A12" s="4" t="s">
        <v>13</v>
      </c>
      <c r="B12" s="5">
        <v>6.5</v>
      </c>
      <c r="C12" s="5">
        <v>85</v>
      </c>
      <c r="D12" s="7">
        <v>4.5</v>
      </c>
      <c r="E12" s="8">
        <v>69</v>
      </c>
    </row>
    <row r="13" spans="1:5">
      <c r="A13" s="4" t="s">
        <v>14</v>
      </c>
      <c r="B13" s="5">
        <v>7</v>
      </c>
      <c r="C13" s="5">
        <v>89</v>
      </c>
      <c r="D13" s="7">
        <v>5</v>
      </c>
      <c r="E13" s="8">
        <v>74</v>
      </c>
    </row>
    <row r="14" spans="1:5">
      <c r="A14" s="4" t="s">
        <v>15</v>
      </c>
      <c r="B14" s="5">
        <v>7.5</v>
      </c>
      <c r="C14" s="5">
        <v>91</v>
      </c>
      <c r="D14" s="7">
        <v>5.5</v>
      </c>
      <c r="E14" s="8">
        <v>78</v>
      </c>
    </row>
    <row r="15" spans="1:5">
      <c r="A15" s="4" t="s">
        <v>16</v>
      </c>
      <c r="B15" s="5">
        <v>8</v>
      </c>
      <c r="C15" s="5">
        <v>94</v>
      </c>
      <c r="D15" s="7">
        <v>6</v>
      </c>
      <c r="E15" s="8">
        <v>82</v>
      </c>
    </row>
    <row r="16" spans="1:5">
      <c r="A16" s="4" t="s">
        <v>17</v>
      </c>
      <c r="B16" s="5">
        <v>9</v>
      </c>
      <c r="C16" s="5">
        <v>98</v>
      </c>
      <c r="D16" s="7">
        <v>6.5</v>
      </c>
      <c r="E16" s="8">
        <v>85</v>
      </c>
    </row>
    <row r="17" spans="1:5">
      <c r="D17" s="7">
        <v>7</v>
      </c>
      <c r="E17" s="8">
        <v>89</v>
      </c>
    </row>
    <row r="18" spans="1:5">
      <c r="D18" s="7">
        <v>7.5</v>
      </c>
      <c r="E18" s="8">
        <v>91</v>
      </c>
    </row>
    <row r="19" spans="1:5">
      <c r="D19" s="7">
        <v>8</v>
      </c>
      <c r="E19" s="8">
        <v>94</v>
      </c>
    </row>
    <row r="20" spans="1:5">
      <c r="D20" s="7">
        <v>9</v>
      </c>
      <c r="E20" s="8">
        <v>98</v>
      </c>
    </row>
    <row r="21" spans="1:5">
      <c r="D21" s="7" t="s">
        <v>19</v>
      </c>
      <c r="E21" s="8">
        <v>1086</v>
      </c>
    </row>
    <row r="25" spans="1:5" ht="28.8">
      <c r="A25" s="9" t="s">
        <v>21</v>
      </c>
      <c r="B25" s="11" t="s">
        <v>22</v>
      </c>
    </row>
    <row r="26" spans="1:5" ht="13.2" customHeight="1">
      <c r="A26" s="12" t="s">
        <v>23</v>
      </c>
      <c r="B26" s="10">
        <v>100000</v>
      </c>
    </row>
    <row r="27" spans="1:5" ht="10.8" customHeight="1">
      <c r="A27" s="12" t="s">
        <v>24</v>
      </c>
      <c r="B27" s="10">
        <v>50000</v>
      </c>
    </row>
    <row r="28" spans="1:5" ht="13.8" customHeight="1">
      <c r="A28" s="12" t="s">
        <v>25</v>
      </c>
      <c r="B28" s="10">
        <v>20000</v>
      </c>
    </row>
    <row r="29" spans="1:5" ht="15" customHeight="1">
      <c r="A29" s="12" t="s">
        <v>26</v>
      </c>
      <c r="B29" s="10">
        <v>-15000</v>
      </c>
    </row>
    <row r="30" spans="1:5">
      <c r="A30" s="12" t="s">
        <v>27</v>
      </c>
      <c r="B30" s="10">
        <v>-25000</v>
      </c>
    </row>
    <row r="31" spans="1:5">
      <c r="A31" s="12" t="s">
        <v>28</v>
      </c>
      <c r="B31" s="10">
        <v>-5000</v>
      </c>
    </row>
    <row r="32" spans="1:5" ht="16.2" customHeight="1">
      <c r="A32" s="12" t="s">
        <v>29</v>
      </c>
      <c r="B32" s="10">
        <v>-10000</v>
      </c>
    </row>
    <row r="33" spans="1:3" ht="15" customHeight="1">
      <c r="A33" s="12" t="s">
        <v>30</v>
      </c>
      <c r="B33" s="10">
        <v>8000</v>
      </c>
    </row>
    <row r="34" spans="1:3">
      <c r="A34" s="12" t="s">
        <v>31</v>
      </c>
      <c r="B34" s="10">
        <v>-12000</v>
      </c>
    </row>
    <row r="35" spans="1:3" ht="18" customHeight="1">
      <c r="A35" s="12" t="s">
        <v>32</v>
      </c>
      <c r="B35" s="10">
        <v>111000</v>
      </c>
    </row>
    <row r="41" spans="1:3">
      <c r="A41" s="9" t="s">
        <v>21</v>
      </c>
      <c r="B41" s="9" t="s">
        <v>33</v>
      </c>
      <c r="C41" s="11" t="s">
        <v>34</v>
      </c>
    </row>
    <row r="42" spans="1:3">
      <c r="A42" s="12" t="s">
        <v>35</v>
      </c>
      <c r="B42" s="12" t="s">
        <v>36</v>
      </c>
      <c r="C42" s="10">
        <v>850000</v>
      </c>
    </row>
    <row r="43" spans="1:3" ht="28.8">
      <c r="A43" s="12" t="s">
        <v>35</v>
      </c>
      <c r="B43" s="12" t="s">
        <v>37</v>
      </c>
      <c r="C43" s="10">
        <v>720000</v>
      </c>
    </row>
    <row r="44" spans="1:3">
      <c r="A44" s="12" t="s">
        <v>35</v>
      </c>
      <c r="B44" s="12" t="s">
        <v>38</v>
      </c>
      <c r="C44" s="10">
        <v>350000</v>
      </c>
    </row>
    <row r="45" spans="1:3" ht="28.8">
      <c r="A45" s="12" t="s">
        <v>35</v>
      </c>
      <c r="B45" s="12" t="s">
        <v>39</v>
      </c>
      <c r="C45" s="10">
        <v>180000</v>
      </c>
    </row>
    <row r="46" spans="1:3">
      <c r="A46" s="12" t="s">
        <v>40</v>
      </c>
      <c r="B46" s="12" t="s">
        <v>41</v>
      </c>
      <c r="C46" s="10">
        <v>420000</v>
      </c>
    </row>
    <row r="47" spans="1:3" ht="28.8">
      <c r="A47" s="12" t="s">
        <v>40</v>
      </c>
      <c r="B47" s="12" t="s">
        <v>42</v>
      </c>
      <c r="C47" s="10">
        <v>310000</v>
      </c>
    </row>
    <row r="48" spans="1:3" ht="28.8">
      <c r="A48" s="12" t="s">
        <v>40</v>
      </c>
      <c r="B48" s="12" t="s">
        <v>43</v>
      </c>
      <c r="C48" s="10">
        <v>260000</v>
      </c>
    </row>
    <row r="49" spans="1:12">
      <c r="A49" s="12" t="s">
        <v>40</v>
      </c>
      <c r="B49" s="12" t="s">
        <v>44</v>
      </c>
      <c r="C49" s="10">
        <v>390000</v>
      </c>
    </row>
    <row r="50" spans="1:12" ht="28.8">
      <c r="A50" s="12" t="s">
        <v>45</v>
      </c>
      <c r="B50" s="12" t="s">
        <v>46</v>
      </c>
      <c r="C50" s="10">
        <v>480000</v>
      </c>
    </row>
    <row r="51" spans="1:12" ht="28.8">
      <c r="A51" s="12" t="s">
        <v>45</v>
      </c>
      <c r="B51" s="12" t="s">
        <v>47</v>
      </c>
      <c r="C51" s="10">
        <v>620000</v>
      </c>
    </row>
    <row r="52" spans="1:12" ht="28.8">
      <c r="A52" s="12" t="s">
        <v>45</v>
      </c>
      <c r="B52" s="12" t="s">
        <v>48</v>
      </c>
      <c r="C52" s="10">
        <v>270000</v>
      </c>
    </row>
    <row r="53" spans="1:12" ht="28.8">
      <c r="A53" s="12" t="s">
        <v>45</v>
      </c>
      <c r="B53" s="12" t="s">
        <v>49</v>
      </c>
      <c r="C53" s="10">
        <v>360000</v>
      </c>
    </row>
    <row r="54" spans="1:12">
      <c r="A54" s="12" t="s">
        <v>50</v>
      </c>
      <c r="B54" s="12" t="s">
        <v>51</v>
      </c>
      <c r="C54" s="10">
        <v>190000</v>
      </c>
    </row>
    <row r="55" spans="1:12" ht="28.8">
      <c r="A55" s="12" t="s">
        <v>50</v>
      </c>
      <c r="B55" s="12" t="s">
        <v>52</v>
      </c>
      <c r="C55" s="10">
        <v>170000</v>
      </c>
    </row>
    <row r="56" spans="1:12">
      <c r="A56" s="12" t="s">
        <v>50</v>
      </c>
      <c r="B56" s="12" t="s">
        <v>53</v>
      </c>
      <c r="C56" s="10">
        <v>250000</v>
      </c>
    </row>
    <row r="57" spans="1:12" ht="28.8">
      <c r="A57" s="12" t="s">
        <v>50</v>
      </c>
      <c r="B57" s="12" t="s">
        <v>54</v>
      </c>
      <c r="C57" s="10">
        <v>210000</v>
      </c>
    </row>
    <row r="60" spans="1:12" ht="18">
      <c r="A60" s="13" t="s">
        <v>55</v>
      </c>
      <c r="B60" s="1"/>
      <c r="C60" s="1"/>
      <c r="D60" s="1"/>
      <c r="E60" s="1"/>
    </row>
    <row r="61" spans="1:12">
      <c r="A61" s="1"/>
      <c r="B61" s="1"/>
      <c r="C61" s="1"/>
      <c r="D61" s="1"/>
      <c r="E61" s="1"/>
    </row>
    <row r="62" spans="1:12">
      <c r="A62" s="1"/>
      <c r="B62" s="14">
        <v>2000</v>
      </c>
      <c r="C62" s="14">
        <v>2005</v>
      </c>
      <c r="D62" s="14">
        <v>2010</v>
      </c>
      <c r="E62" s="14">
        <v>2015</v>
      </c>
    </row>
    <row r="63" spans="1:12">
      <c r="A63" s="1" t="s">
        <v>56</v>
      </c>
      <c r="B63" s="15">
        <v>69980</v>
      </c>
      <c r="C63" s="15">
        <v>71157</v>
      </c>
      <c r="D63" s="15">
        <v>74000</v>
      </c>
      <c r="E63" s="15">
        <v>75608</v>
      </c>
    </row>
    <row r="64" spans="1:12">
      <c r="A64" s="1" t="s">
        <v>57</v>
      </c>
      <c r="B64" s="15">
        <v>3784</v>
      </c>
      <c r="C64" s="15">
        <v>3946</v>
      </c>
      <c r="D64" s="15">
        <v>4199</v>
      </c>
      <c r="E64" s="15">
        <v>4218</v>
      </c>
      <c r="L64" t="s">
        <v>64</v>
      </c>
    </row>
    <row r="65" spans="1:5">
      <c r="A65" s="1" t="s">
        <v>58</v>
      </c>
      <c r="B65" s="15">
        <v>1996</v>
      </c>
      <c r="C65" s="15">
        <v>2007</v>
      </c>
      <c r="D65" s="15">
        <v>2032</v>
      </c>
      <c r="E65" s="15">
        <v>2425</v>
      </c>
    </row>
    <row r="66" spans="1:5">
      <c r="A66" s="1" t="s">
        <v>59</v>
      </c>
      <c r="B66" s="15">
        <v>1037</v>
      </c>
      <c r="C66" s="15">
        <v>1386</v>
      </c>
      <c r="D66" s="15">
        <v>1629</v>
      </c>
      <c r="E66" s="15">
        <v>1759</v>
      </c>
    </row>
    <row r="67" spans="1:5">
      <c r="A67" s="1" t="s">
        <v>60</v>
      </c>
      <c r="B67" s="15">
        <v>1376</v>
      </c>
      <c r="C67" s="15">
        <v>849</v>
      </c>
      <c r="D67" s="15">
        <v>998</v>
      </c>
      <c r="E67" s="15">
        <v>1027</v>
      </c>
    </row>
    <row r="68" spans="1:5">
      <c r="A68" s="1" t="s">
        <v>61</v>
      </c>
      <c r="B68" s="15">
        <v>645</v>
      </c>
      <c r="C68" s="15">
        <v>722</v>
      </c>
      <c r="D68" s="15">
        <v>831</v>
      </c>
      <c r="E68" s="15">
        <v>856</v>
      </c>
    </row>
    <row r="69" spans="1:5">
      <c r="A69" s="1" t="s">
        <v>62</v>
      </c>
      <c r="B69" s="15">
        <v>261</v>
      </c>
      <c r="C69" s="15">
        <v>328</v>
      </c>
      <c r="D69" s="15">
        <v>478</v>
      </c>
      <c r="E69" s="15">
        <v>831</v>
      </c>
    </row>
    <row r="70" spans="1:5">
      <c r="A70" s="16" t="s">
        <v>63</v>
      </c>
      <c r="B70" s="17">
        <f>SUM(B62:B69)</f>
        <v>81079</v>
      </c>
      <c r="C70" s="17">
        <f>SUM(C62:C69)</f>
        <v>82400</v>
      </c>
      <c r="D70" s="17">
        <f>SUM(D62:D69)</f>
        <v>86177</v>
      </c>
      <c r="E70" s="17">
        <f>SUM(E62:E69)</f>
        <v>88739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span" xr2:uid="{43CCD174-D122-4743-BBA8-DD18B11196D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Sheet1!B62:E62</xm:f>
              <xm:sqref>F62</xm:sqref>
            </x14:sparkline>
            <x14:sparkline>
              <xm:f>Sheet1!B63:E63</xm:f>
              <xm:sqref>F63</xm:sqref>
            </x14:sparkline>
            <x14:sparkline>
              <xm:f>Sheet1!B64:E64</xm:f>
              <xm:sqref>F64</xm:sqref>
            </x14:sparkline>
            <x14:sparkline>
              <xm:f>Sheet1!B65:E65</xm:f>
              <xm:sqref>F65</xm:sqref>
            </x14:sparkline>
            <x14:sparkline>
              <xm:f>Sheet1!B66:E66</xm:f>
              <xm:sqref>F66</xm:sqref>
            </x14:sparkline>
            <x14:sparkline>
              <xm:f>Sheet1!B67:E67</xm:f>
              <xm:sqref>F67</xm:sqref>
            </x14:sparkline>
            <x14:sparkline>
              <xm:f>Sheet1!B68:E68</xm:f>
              <xm:sqref>F68</xm:sqref>
            </x14:sparkline>
            <x14:sparkline>
              <xm:f>Sheet1!B69:E69</xm:f>
              <xm:sqref>F69</xm:sqref>
            </x14:sparkline>
            <x14:sparkline>
              <xm:f>Sheet1!B70:E70</xm:f>
              <xm:sqref>F70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Malekar</dc:creator>
  <cp:lastModifiedBy>Ninad Malekar</cp:lastModifiedBy>
  <dcterms:created xsi:type="dcterms:W3CDTF">2026-07-20T06:31:31Z</dcterms:created>
  <dcterms:modified xsi:type="dcterms:W3CDTF">2026-07-20T07:42:46Z</dcterms:modified>
</cp:coreProperties>
</file>