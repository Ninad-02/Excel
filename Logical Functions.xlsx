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OKUP" sheetId="1" r:id="rId1"/>
    <sheet name="HLOOKUP" sheetId="3" r:id="rId2"/>
    <sheet name="VLOOKUP" sheetId="2" r:id="rId3"/>
    <sheet name="Xlook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<sst xmlns="http://schemas.openxmlformats.org/spreadsheetml/2006/main" count="153" uniqueCount="58">
  <si>
    <t>Full Name</t>
  </si>
  <si>
    <t xml:space="preserve">Subject </t>
  </si>
  <si>
    <t xml:space="preserve">Marathi </t>
  </si>
  <si>
    <t>English</t>
  </si>
  <si>
    <t>IF</t>
  </si>
  <si>
    <t>IFS</t>
  </si>
  <si>
    <t>And</t>
  </si>
  <si>
    <t>Or</t>
  </si>
  <si>
    <t>NOT</t>
  </si>
  <si>
    <t>IFERROR</t>
  </si>
  <si>
    <t>Column1</t>
  </si>
  <si>
    <t>A</t>
  </si>
  <si>
    <t>Marathi</t>
  </si>
  <si>
    <t>Subject</t>
  </si>
  <si>
    <t>Marks</t>
  </si>
  <si>
    <t>Lookup Type</t>
  </si>
  <si>
    <t>B</t>
  </si>
  <si>
    <t>History</t>
  </si>
  <si>
    <t>Lookup Vector</t>
  </si>
  <si>
    <t>C</t>
  </si>
  <si>
    <t xml:space="preserve">Polytical Science </t>
  </si>
  <si>
    <t>Machine Learning</t>
  </si>
  <si>
    <t>Lookup array</t>
  </si>
  <si>
    <t>D</t>
  </si>
  <si>
    <t>Python</t>
  </si>
  <si>
    <t>E</t>
  </si>
  <si>
    <t xml:space="preserve">Data Science </t>
  </si>
  <si>
    <t>F</t>
  </si>
  <si>
    <t>Geography</t>
  </si>
  <si>
    <t>G</t>
  </si>
  <si>
    <t xml:space="preserve">Information Technology </t>
  </si>
  <si>
    <t>H</t>
  </si>
  <si>
    <t xml:space="preserve"> </t>
  </si>
  <si>
    <t>Product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</si>
  <si>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</si>
  <si>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</si>
  <si>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</si>
  <si>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</si>
  <si>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</si>
  <si>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</si>
  <si>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</si>
  <si>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</si>
  <si>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</si>
  <si>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</si>
  <si>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Sales</t>
  </si>
  <si>
    <t>Product Name</t>
  </si>
  <si>
    <t>Product name</t>
  </si>
  <si>
    <t>I</t>
  </si>
  <si>
    <t>J</t>
  </si>
  <si>
    <t>LOOKUP</t>
  </si>
  <si>
    <t>SUMIF</t>
  </si>
  <si>
    <t>SUMIFS</t>
  </si>
  <si>
    <t>HLOOKUP</t>
  </si>
  <si>
    <t xml:space="preserve">Product name </t>
  </si>
  <si>
    <t>VLOOKUP</t>
  </si>
  <si>
    <t>P9</t>
  </si>
  <si>
    <t>p7p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</si>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</sst>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8" tint="-0.249977111117893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ont="1" applyFill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6" borderId="1" xfId="0" applyFill="1" applyBorder="1"/>
    <xf numFmtId="0" fontId="0" fillId="0" borderId="1" xfId="0" applyBorder="1"/>
    <xf numFmtId="0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K14" totalsRowShown="0">
  <autoFilter xmlns:etc="http://www.wps.cn/officeDocument/2017/etCustomData" ref="A1:K14" etc:filterBottomFollowUsedRange="0"/>
  <tableColumns count="11">
    <tableColumn id="1" name="Full Name"/>
    <tableColumn id="2" name="Subject "/>
    <tableColumn id="3" name="Marathi " dataDxfId="0"/>
    <tableColumn id="4" name="English" dataDxfId="1"/>
    <tableColumn id="5" name="IF" dataDxfId="2">
      <calculatedColumnFormula>IF(D2&gt;50,"Good Marks","Bad Marks")</calculatedColumnFormula>
    </tableColumn>
    <tableColumn id="6" name="IFS" dataDxfId="3">
      <calculatedColumnFormula array="1">_xlfn.IFS(Table2[[#This Row],[English]]&lt;50,"Bad Marks",Table2[[#This Row],[English]]&lt;=70,"Average Marks",Table2[[#This Row],[English]]&gt;70,"Good Marks",TRUE,"need review")</calculatedColumnFormula>
    </tableColumn>
    <tableColumn id="7" name="And" dataDxfId="4">
      <calculatedColumnFormula>AND(Table2[[#This Row],[English]]&gt;=60,Table2[[#This Row],[Full Name]]="A")</calculatedColumnFormula>
    </tableColumn>
    <tableColumn id="8" name="Or" dataDxfId="5">
      <calculatedColumnFormula>OR(Table2[[#This Row],[English]]&gt;=60,Table2[[#This Row],[Full Name]]="A")</calculatedColumnFormula>
    </tableColumn>
    <tableColumn id="9" name="NOT" dataDxfId="6">
      <calculatedColumnFormula>NOT(AND(Table2[[#This Row],[English]]&gt;=60,Table2[[#This Row],[Full Name]]="A"))</calculatedColumnFormula>
    </tableColumn>
    <tableColumn id="10" name="IFERROR" dataDxfId="7">
      <calculatedColumnFormula array="1">IFERROR(_xlfn.IFS(Table2[[#This Row],[English]]&lt;50,"Average Marks",Table2[[#This Row],[English]]&gt;=60,"Good Marks"),"Something is Missing")</calculatedColumnFormula>
    </tableColumn>
    <tableColumn id="11" name="Column1" dataDxfId="8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tabSelected="1" zoomScale="98" zoomScaleNormal="98" workbookViewId="0">
      <selection activeCell="G25" sqref="G25"/>
    </sheetView>
  </sheetViews>
  <sheetFormatPr defaultColWidth="9" defaultRowHeight="14.4"/>
  <cols>
    <col min="1" max="1" width="13.7777777777778" customWidth="1"/>
    <col min="2" max="2" width="21.3333333333333" customWidth="1"/>
    <col min="3" max="3" width="12.5555555555556" customWidth="1"/>
    <col min="4" max="4" width="11.5555555555556" customWidth="1"/>
    <col min="5" max="5" width="12.8888888888889" customWidth="1"/>
    <col min="6" max="6" width="13.1111111111111" customWidth="1"/>
    <col min="7" max="7" width="12.6666666666667" customWidth="1"/>
    <col min="8" max="8" width="7.44444444444444" customWidth="1"/>
    <col min="10" max="10" width="17.8888888888889" customWidth="1"/>
    <col min="13" max="13" width="15.4444444444444" customWidth="1"/>
    <col min="14" max="14" width="12.6666666666667" customWidth="1"/>
    <col min="15" max="15" width="12.8888888888889" customWidth="1"/>
  </cols>
  <sheetData>
    <row r="1" spans="1: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1" t="s">
        <v>8</v>
      </c>
      <c r="J1" s="21" t="s">
        <v>9</v>
      </c>
      <c r="K1" s="21" t="s">
        <v>10</v>
      </c>
    </row>
    <row r="2" spans="1:15">
      <c r="A2" t="s">
        <v>11</v>
      </c>
      <c r="B2" t="s">
        <v>12</v>
      </c>
      <c r="C2" s="22">
        <v>20</v>
      </c>
      <c r="D2" s="22">
        <v>90</v>
      </c>
      <c r="E2" s="22" t="str">
        <f>IF(D2&gt;50,"Good Marks","Bad Marks")</f>
        <v>Good Marks</v>
      </c>
      <c r="F2" t="str" cm="1">
        <f t="array" ref="F2">_xlfn.IFS(Table2[[#This Row],[English]]&lt;50,"Bad Marks",Table2[[#This Row],[English]]&lt;=70,"Average Marks",Table2[[#This Row],[English]]&gt;70,"Good Marks",TRUE,"need review")</f>
        <v>Good Marks</v>
      </c>
      <c r="G2" s="22" t="b">
        <f>AND(Table2[[#This Row],[English]]&gt;=60,Table2[[#This Row],[Full Name]]="A")</f>
        <v>1</v>
      </c>
      <c r="H2" s="22" t="b">
        <f>OR(Table2[[#This Row],[English]]&gt;=60,Table2[[#This Row],[Full Name]]="A")</f>
        <v>1</v>
      </c>
      <c r="I2" t="b">
        <f>NOT(AND(Table2[[#This Row],[English]]&gt;=60,Table2[[#This Row],[Full Name]]="A"))</f>
        <v>0</v>
      </c>
      <c r="J2" t="str" cm="1">
        <f t="array" ref="J2">IFERROR(_xlfn.IFS(Table2[[#This Row],[English]]&lt;50,"Average Marks",Table2[[#This Row],[English]]&gt;=60,"Good Marks"),"Something is Missing")</f>
        <v>Good Marks</v>
      </c>
      <c r="K2" s="23"/>
      <c r="M2" s="24" t="s">
        <v>13</v>
      </c>
      <c r="N2" s="24" t="s">
        <v>14</v>
      </c>
      <c r="O2" s="24" t="s">
        <v>15</v>
      </c>
    </row>
    <row r="3" spans="1:15">
      <c r="A3" t="s">
        <v>16</v>
      </c>
      <c r="B3" t="s">
        <v>3</v>
      </c>
      <c r="C3" s="22">
        <v>50</v>
      </c>
      <c r="D3" s="22">
        <v>55</v>
      </c>
      <c r="E3" s="22" t="str">
        <f t="shared" ref="E3:E9" si="0">IF(D3&gt;50,"Good Marks","Bad Marks")</f>
        <v>Good Marks</v>
      </c>
      <c r="F3" t="str" cm="1">
        <f t="array" ref="F3">_xlfn.IFS(Table2[[#This Row],[English]]&lt;50,"Bad Marks",Table2[[#This Row],[English]]&lt;=70,"Average Marks",Table2[[#This Row],[English]]&gt;70,"Good Marks",TRUE,"need review")</f>
        <v>Average Marks</v>
      </c>
      <c r="G3" s="22" t="b">
        <f>AND(Table2[[#This Row],[English]]&gt;=60,Table2[[#This Row],[Full Name]]="A")</f>
        <v>0</v>
      </c>
      <c r="H3" s="22" t="b">
        <f>OR(Table2[[#This Row],[English]]&gt;=60,Table2[[#This Row],[Full Name]]="A")</f>
        <v>0</v>
      </c>
      <c r="I3" t="b">
        <f>NOT(AND(Table2[[#This Row],[English]]&gt;=60,Table2[[#This Row],[Full Name]]="A"))</f>
        <v>1</v>
      </c>
      <c r="J3" t="str" cm="1">
        <f t="array" ref="J3">IFERROR(_xlfn.IFS(Table2[[#This Row],[English]]&lt;50,"Average Marks",Table2[[#This Row],[English]]&gt;=60,"Good Marks"),"Something is Missing")</f>
        <v>Something is Missing</v>
      </c>
      <c r="K3" s="23"/>
      <c r="M3" s="25" t="s">
        <v>17</v>
      </c>
      <c r="N3" s="25">
        <f>LOOKUP(M3,B2:B9,D2:D9)</f>
        <v>55</v>
      </c>
      <c r="O3" s="25" t="s">
        <v>18</v>
      </c>
    </row>
    <row r="4" spans="1:15">
      <c r="A4" t="s">
        <v>19</v>
      </c>
      <c r="B4" t="s">
        <v>20</v>
      </c>
      <c r="C4" s="22">
        <v>60</v>
      </c>
      <c r="D4" s="22">
        <v>78</v>
      </c>
      <c r="E4" s="22" t="str">
        <f t="shared" si="0"/>
        <v>Good Marks</v>
      </c>
      <c r="F4" t="str" cm="1">
        <f t="array" ref="F4">_xlfn.IFS(Table2[[#This Row],[English]]&lt;50,"Bad Marks",Table2[[#This Row],[English]]&lt;=70,"Average Marks",Table2[[#This Row],[English]]&gt;70,"Good Marks",TRUE,"need review")</f>
        <v>Good Marks</v>
      </c>
      <c r="G4" s="22" t="b">
        <f>AND(Table2[[#This Row],[English]]&gt;=60,Table2[[#This Row],[Full Name]]="A")</f>
        <v>0</v>
      </c>
      <c r="H4" s="22" t="b">
        <f>OR(Table2[[#This Row],[English]]&gt;=60,Table2[[#This Row],[Full Name]]="A")</f>
        <v>1</v>
      </c>
      <c r="I4" t="b">
        <f>NOT(AND(Table2[[#This Row],[English]]&gt;=60,Table2[[#This Row],[Full Name]]="A"))</f>
        <v>1</v>
      </c>
      <c r="J4" t="str" cm="1">
        <f t="array" ref="J4">IFERROR(_xlfn.IFS(Table2[[#This Row],[English]]&lt;50,"Average Marks",Table2[[#This Row],[English]]&gt;=60,"Good Marks"),"Something is Missing")</f>
        <v>Good Marks</v>
      </c>
      <c r="K4" s="23"/>
      <c r="M4" s="25" t="s">
        <v>21</v>
      </c>
      <c r="N4" s="25" t="str">
        <f>LOOKUP(M4,A2:J9)</f>
        <v>Good Marks</v>
      </c>
      <c r="O4" s="25" t="s">
        <v>22</v>
      </c>
    </row>
    <row r="5" spans="1:15">
      <c r="A5" t="s">
        <v>23</v>
      </c>
      <c r="B5" t="s">
        <v>24</v>
      </c>
      <c r="C5" s="22">
        <v>77</v>
      </c>
      <c r="D5" s="22">
        <v>78</v>
      </c>
      <c r="E5" s="22" t="str">
        <f t="shared" si="0"/>
        <v>Good Marks</v>
      </c>
      <c r="F5" t="str" cm="1">
        <f t="array" ref="F5">_xlfn.IFS(Table2[[#This Row],[English]]&lt;50,"Bad Marks",Table2[[#This Row],[English]]&lt;=70,"Average Marks",Table2[[#This Row],[English]]&gt;70,"Good Marks",TRUE,"need review")</f>
        <v>Good Marks</v>
      </c>
      <c r="G5" s="22" t="b">
        <f>AND(Table2[[#This Row],[English]]&gt;=60,Table2[[#This Row],[Full Name]]="A")</f>
        <v>0</v>
      </c>
      <c r="H5" s="22" t="b">
        <f>OR(Table2[[#This Row],[English]]&gt;=60,Table2[[#This Row],[Full Name]]="A")</f>
        <v>1</v>
      </c>
      <c r="I5" t="b">
        <f>NOT(AND(Table2[[#This Row],[English]]&gt;=60,Table2[[#This Row],[Full Name]]="A"))</f>
        <v>1</v>
      </c>
      <c r="J5" t="str" cm="1">
        <f t="array" ref="J5">IFERROR(_xlfn.IFS(Table2[[#This Row],[English]]&lt;50,"Average Marks",Table2[[#This Row],[English]]&gt;=60,"Good Marks"),"Something is Missing")</f>
        <v>Good Marks</v>
      </c>
      <c r="K5" s="23"/>
    </row>
    <row r="6" spans="1:15">
      <c r="A6" t="s">
        <v>25</v>
      </c>
      <c r="B6" t="s">
        <v>26</v>
      </c>
      <c r="C6" s="22">
        <v>89</v>
      </c>
      <c r="D6" s="22">
        <v>70</v>
      </c>
      <c r="E6" s="22" t="str">
        <f t="shared" si="0"/>
        <v>Good Marks</v>
      </c>
      <c r="F6" t="str" cm="1">
        <f t="array" ref="F6">_xlfn.IFS(Table2[[#This Row],[English]]&lt;50,"Bad Marks",Table2[[#This Row],[English]]&lt;=70,"Average Marks",Table2[[#This Row],[English]]&gt;70,"Good Marks",TRUE,"need review")</f>
        <v>Average Marks</v>
      </c>
      <c r="G6" s="22" t="b">
        <f>AND(Table2[[#This Row],[English]]&gt;=60,Table2[[#This Row],[Full Name]]="A")</f>
        <v>0</v>
      </c>
      <c r="H6" s="22" t="b">
        <f>OR(Table2[[#This Row],[English]]&gt;=60,Table2[[#This Row],[Full Name]]="A")</f>
        <v>1</v>
      </c>
      <c r="I6" t="b">
        <f>NOT(AND(Table2[[#This Row],[English]]&gt;=60,Table2[[#This Row],[Full Name]]="A"))</f>
        <v>1</v>
      </c>
      <c r="J6" t="str" cm="1">
        <f t="array" ref="J6">IFERROR(_xlfn.IFS(Table2[[#This Row],[English]]&lt;50,"Average Marks",Table2[[#This Row],[English]]&gt;=60,"Good Marks"),"Something is Missing")</f>
        <v>Good Marks</v>
      </c>
      <c r="K6" s="23"/>
    </row>
    <row r="7" spans="1:15">
      <c r="A7" t="s">
        <v>27</v>
      </c>
      <c r="B7" t="s">
        <v>28</v>
      </c>
      <c r="C7" s="22">
        <v>26</v>
      </c>
      <c r="D7" s="22">
        <v>89</v>
      </c>
      <c r="E7" s="22" t="str">
        <f t="shared" si="0"/>
        <v>Good Marks</v>
      </c>
      <c r="F7" t="str" cm="1">
        <f t="array" ref="F7">_xlfn.IFS(Table2[[#This Row],[English]]&lt;50,"Bad Marks",Table2[[#This Row],[English]]&lt;=70,"Average Marks",Table2[[#This Row],[English]]&gt;70,"Good Marks",TRUE,"need review")</f>
        <v>Good Marks</v>
      </c>
      <c r="G7" s="22" t="b">
        <f>AND(Table2[[#This Row],[English]]&gt;=60,Table2[[#This Row],[Full Name]]="A")</f>
        <v>0</v>
      </c>
      <c r="H7" s="22" t="b">
        <f>OR(Table2[[#This Row],[English]]&gt;=60,Table2[[#This Row],[Full Name]]="A")</f>
        <v>1</v>
      </c>
      <c r="I7" t="b">
        <f>NOT(AND(Table2[[#This Row],[English]]&gt;=60,Table2[[#This Row],[Full Name]]="A"))</f>
        <v>1</v>
      </c>
      <c r="J7" t="str" cm="1">
        <f t="array" ref="J7">IFERROR(_xlfn.IFS(Table2[[#This Row],[English]]&lt;50,"Average Marks",Table2[[#This Row],[English]]&gt;=60,"Good Marks"),"Something is Missing")</f>
        <v>Good Marks</v>
      </c>
      <c r="K7" s="23"/>
    </row>
    <row r="8" spans="1:15">
      <c r="A8" t="s">
        <v>29</v>
      </c>
      <c r="B8" t="s">
        <v>30</v>
      </c>
      <c r="C8" s="22">
        <v>54</v>
      </c>
      <c r="D8" s="22">
        <v>85</v>
      </c>
      <c r="E8" s="22" t="str">
        <f t="shared" si="0"/>
        <v>Good Marks</v>
      </c>
      <c r="F8" t="str" cm="1">
        <f t="array" ref="F8">_xlfn.IFS(Table2[[#This Row],[English]]&lt;50,"Bad Marks",Table2[[#This Row],[English]]&lt;=70,"Average Marks",Table2[[#This Row],[English]]&gt;70,"Good Marks",TRUE,"need review")</f>
        <v>Good Marks</v>
      </c>
      <c r="G8" s="22" t="b">
        <f>AND(Table2[[#This Row],[English]]&gt;=60,Table2[[#This Row],[Full Name]]="A")</f>
        <v>0</v>
      </c>
      <c r="H8" s="22" t="b">
        <f>OR(Table2[[#This Row],[English]]&gt;=60,Table2[[#This Row],[Full Name]]="A")</f>
        <v>1</v>
      </c>
      <c r="I8" t="b">
        <f>NOT(AND(Table2[[#This Row],[English]]&gt;=60,Table2[[#This Row],[Full Name]]="A"))</f>
        <v>1</v>
      </c>
      <c r="J8" t="str" cm="1">
        <f t="array" ref="J8">IFERROR(_xlfn.IFS(Table2[[#This Row],[English]]&lt;50,"Average Marks",Table2[[#This Row],[English]]&gt;=60,"Good Marks"),"Something is Missing")</f>
        <v>Good Marks</v>
      </c>
      <c r="K8" s="23"/>
    </row>
    <row r="9" spans="1:15">
      <c r="A9" t="s">
        <v>31</v>
      </c>
      <c r="B9" t="s">
        <v>21</v>
      </c>
      <c r="C9" s="22">
        <v>85</v>
      </c>
      <c r="D9" s="22">
        <v>86</v>
      </c>
      <c r="E9" s="22" t="str">
        <f t="shared" si="0"/>
        <v>Good Marks</v>
      </c>
      <c r="F9" t="str" cm="1">
        <f t="array" ref="F9">_xlfn.IFS(Table2[[#This Row],[English]]&lt;50,"Bad Marks",Table2[[#This Row],[English]]&lt;=70,"Average Marks",Table2[[#This Row],[English]]&gt;70,"Good Marks",TRUE,"need review")</f>
        <v>Good Marks</v>
      </c>
      <c r="G9" s="22" t="b">
        <f>AND(Table2[[#This Row],[English]]&gt;=60,Table2[[#This Row],[Full Name]]="A")</f>
        <v>0</v>
      </c>
      <c r="H9" s="22" t="b">
        <f>OR(Table2[[#This Row],[English]]&gt;=60,Table2[[#This Row],[Full Name]]="A")</f>
        <v>1</v>
      </c>
      <c r="I9" t="b">
        <f>NOT(AND(Table2[[#This Row],[English]]&gt;=60,Table2[[#This Row],[Full Name]]="A"))</f>
        <v>1</v>
      </c>
      <c r="J9" t="str" cm="1">
        <f t="array" ref="J9">IFERROR(_xlfn.IFS(Table2[[#This Row],[English]]&lt;50,"Average Marks",Table2[[#This Row],[English]]&gt;=60,"Good Marks"),"Something is Missing")</f>
        <v>Good Marks</v>
      </c>
      <c r="K9" s="23"/>
      <c r="O9" t="s">
        <v>32</v>
      </c>
    </row>
    <row r="10" spans="1:15">
      <c r="C10" s="22"/>
      <c r="D10" s="22"/>
      <c r="E10" s="22"/>
      <c r="G10" s="22"/>
      <c r="H10" s="22"/>
      <c r="K10" s="23"/>
    </row>
    <row r="11" spans="1:15">
      <c r="C11" s="22"/>
      <c r="D11" s="22"/>
      <c r="E11" s="22"/>
      <c r="G11" s="22"/>
      <c r="H11" s="26"/>
      <c r="K11" s="23"/>
    </row>
    <row r="12" spans="1:15">
      <c r="A12" s="27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3" t="s">
        <v>39</v>
      </c>
      <c r="H12" s="3" t="s">
        <v>40</v>
      </c>
      <c r="I12" s="3" t="s">
        <v>41</v>
      </c>
      <c r="J12" s="3" t="s">
        <v>42</v>
      </c>
      <c r="K12" s="28" t="s">
        <v>43</v>
      </c>
    </row>
    <row r="13" spans="1:15">
      <c r="A13" s="27" t="s">
        <v>44</v>
      </c>
      <c r="B13" s="3">
        <v>856</v>
      </c>
      <c r="C13" s="3">
        <v>562</v>
      </c>
      <c r="D13" s="3">
        <v>487</v>
      </c>
      <c r="E13" s="3">
        <v>895</v>
      </c>
      <c r="F13" s="3">
        <v>687</v>
      </c>
      <c r="G13" s="3">
        <v>783</v>
      </c>
      <c r="H13" s="3">
        <v>789</v>
      </c>
      <c r="I13" s="3">
        <v>879</v>
      </c>
      <c r="J13" s="3">
        <v>665</v>
      </c>
      <c r="K13" s="28">
        <v>695</v>
      </c>
      <c r="L13" s="7" t="s">
        <v>33</v>
      </c>
      <c r="M13" s="7" t="s">
        <v>45</v>
      </c>
      <c r="N13" s="7" t="s">
        <v>44</v>
      </c>
    </row>
    <row r="14" spans="1:15">
      <c r="A14" s="27" t="s">
        <v>46</v>
      </c>
      <c r="B14" s="3" t="s">
        <v>11</v>
      </c>
      <c r="C14" s="3" t="s">
        <v>16</v>
      </c>
      <c r="D14" s="3" t="s">
        <v>19</v>
      </c>
      <c r="E14" s="3" t="s">
        <v>23</v>
      </c>
      <c r="F14" s="3" t="s">
        <v>25</v>
      </c>
      <c r="G14" s="3" t="s">
        <v>27</v>
      </c>
      <c r="H14" s="3" t="s">
        <v>29</v>
      </c>
      <c r="I14" s="3" t="s">
        <v>31</v>
      </c>
      <c r="J14" s="3" t="s">
        <v>47</v>
      </c>
      <c r="K14" s="28" t="s">
        <v>48</v>
      </c>
      <c r="L14" s="9" t="s">
        <v>42</v>
      </c>
      <c r="M14" s="9" t="str">
        <f>LOOKUP(L14,A12:K12,A14:K14)</f>
        <v>I</v>
      </c>
      <c r="N14" s="9">
        <f>LOOKUP(M14,A14:K14,A13:K13)</f>
        <v>665</v>
      </c>
    </row>
    <row r="15" ht="15.6" spans="1:15">
      <c r="A15" s="17" t="s">
        <v>49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21" spans="7:21">
      <c r="G21" s="29" t="s">
        <v>50</v>
      </c>
      <c r="H21" s="30">
        <f>SUMIF(B2:B9,"marathi",C2:C9)</f>
        <v>20</v>
      </c>
    </row>
    <row r="22" spans="7:21">
      <c r="G22" s="29" t="s">
        <v>51</v>
      </c>
      <c r="H22" s="30">
        <f>SUMIFS(C2:C9,B2:B9,"English",F2:F9,"Average Marks")</f>
        <v>50</v>
      </c>
    </row>
    <row r="24" spans="7:21">
      <c r="U24" s="31"/>
    </row>
  </sheetData>
  <mergeCells count="1">
    <mergeCell ref="A15:N15"/>
  </mergeCells>
  <pageMargins left="0.7" right="0.7" top="0.75" bottom="0.75" header="0.3" footer="0.3"/>
  <pageSetup paperSize="9" orientation="portrait"/>
  <headerFooter/>
  <ignoredErrors>
    <ignoredError sqref="E12:J1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6" sqref="F6:F8"/>
    </sheetView>
  </sheetViews>
  <sheetFormatPr defaultColWidth="9" defaultRowHeight="14.4" outlineLevelRow="7"/>
  <cols>
    <col min="6" max="6" width="10.3333333333333" customWidth="1"/>
  </cols>
  <sheetData>
    <row r="1" ht="15.6" spans="1:11">
      <c r="A1" s="10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11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3" t="s">
        <v>43</v>
      </c>
    </row>
    <row r="3" spans="1:11">
      <c r="A3" s="11" t="s">
        <v>44</v>
      </c>
      <c r="B3" s="14">
        <v>856</v>
      </c>
      <c r="C3" s="14">
        <v>562</v>
      </c>
      <c r="D3" s="14">
        <v>487</v>
      </c>
      <c r="E3" s="14">
        <v>895</v>
      </c>
      <c r="F3" s="14">
        <v>687</v>
      </c>
      <c r="G3" s="14">
        <v>783</v>
      </c>
      <c r="H3" s="14">
        <v>789</v>
      </c>
      <c r="I3" s="14">
        <v>879</v>
      </c>
      <c r="J3" s="14">
        <v>665</v>
      </c>
      <c r="K3" s="15">
        <v>695</v>
      </c>
    </row>
    <row r="4" spans="1:11">
      <c r="A4" s="11" t="s">
        <v>46</v>
      </c>
      <c r="B4" s="12" t="s">
        <v>11</v>
      </c>
      <c r="C4" s="12" t="s">
        <v>16</v>
      </c>
      <c r="D4" s="12" t="s">
        <v>19</v>
      </c>
      <c r="E4" s="12" t="s">
        <v>23</v>
      </c>
      <c r="F4" s="12" t="s">
        <v>25</v>
      </c>
      <c r="G4" s="12" t="s">
        <v>27</v>
      </c>
      <c r="H4" s="12" t="s">
        <v>29</v>
      </c>
      <c r="I4" s="12" t="s">
        <v>31</v>
      </c>
      <c r="J4" s="12" t="s">
        <v>47</v>
      </c>
      <c r="K4" s="13" t="s">
        <v>48</v>
      </c>
    </row>
    <row r="6" spans="1:11">
      <c r="A6" s="16" t="s">
        <v>33</v>
      </c>
      <c r="B6" s="3" t="s">
        <v>40</v>
      </c>
      <c r="C6" s="9" t="s">
        <v>35</v>
      </c>
      <c r="D6" s="9" t="s">
        <v>37</v>
      </c>
      <c r="E6" s="9" t="s">
        <v>36</v>
      </c>
      <c r="F6" s="17" t="s">
        <v>52</v>
      </c>
    </row>
    <row r="7" spans="1:11">
      <c r="A7" s="16" t="s">
        <v>53</v>
      </c>
      <c r="B7" s="9" t="str">
        <f>HLOOKUP(B6,A2:K4,3,FALSE)</f>
        <v>G</v>
      </c>
      <c r="C7" s="9" t="str">
        <f>HLOOKUP(C6,B2:K4,3,FALSE)</f>
        <v>B</v>
      </c>
      <c r="D7" s="9" t="str">
        <f>HLOOKUP(D6,C2:K4,3,FALSE)</f>
        <v>D</v>
      </c>
      <c r="E7" s="9" t="str">
        <f>HLOOKUP(E6,D2:K4,3,FALSE)</f>
        <v>C</v>
      </c>
      <c r="F7" s="17"/>
    </row>
    <row r="8" spans="1:11">
      <c r="A8" s="16" t="s">
        <v>44</v>
      </c>
      <c r="B8" s="3">
        <f>HLOOKUP(B6,A2:K4,2,)</f>
        <v>789</v>
      </c>
      <c r="C8" s="3">
        <f>HLOOKUP(C6,B2:K4,2,)</f>
        <v>562</v>
      </c>
      <c r="D8" s="3">
        <f>HLOOKUP(D6,C2:K4,2,)</f>
        <v>895</v>
      </c>
      <c r="E8" s="3">
        <f>HLOOKUP(E6,D2:K4,2,)</f>
        <v>487</v>
      </c>
      <c r="F8" s="17"/>
    </row>
  </sheetData>
  <mergeCells count="2">
    <mergeCell ref="A1:K1"/>
    <mergeCell ref="F6:F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4" sqref="D14:F14"/>
    </sheetView>
  </sheetViews>
  <sheetFormatPr defaultColWidth="9" defaultRowHeight="14.4" outlineLevelCol="5"/>
  <cols>
    <col min="2" max="2" width="12.3333333333333" customWidth="1"/>
    <col min="4" max="4" width="9.55555555555556" customWidth="1"/>
    <col min="5" max="5" width="12.6666666666667" customWidth="1"/>
    <col min="6" max="6" width="5.11111111111111" customWidth="1"/>
  </cols>
  <sheetData>
    <row r="1" spans="1:6">
      <c r="A1" s="1" t="s">
        <v>33</v>
      </c>
      <c r="B1" s="1" t="s">
        <v>46</v>
      </c>
      <c r="C1" s="1" t="s">
        <v>33</v>
      </c>
    </row>
    <row r="2" spans="1:6">
      <c r="A2" s="2" t="s">
        <v>34</v>
      </c>
      <c r="B2" s="3" t="s">
        <v>11</v>
      </c>
      <c r="C2" s="3">
        <v>856</v>
      </c>
    </row>
    <row r="3" spans="1:6">
      <c r="A3" s="3" t="s">
        <v>35</v>
      </c>
      <c r="B3" s="3" t="s">
        <v>16</v>
      </c>
      <c r="C3" s="3">
        <v>562</v>
      </c>
    </row>
    <row r="4" spans="1:6">
      <c r="A4" s="3" t="s">
        <v>36</v>
      </c>
      <c r="B4" s="3" t="s">
        <v>19</v>
      </c>
      <c r="C4" s="3">
        <v>487</v>
      </c>
    </row>
    <row r="5" spans="1:6">
      <c r="A5" s="3" t="s">
        <v>37</v>
      </c>
      <c r="B5" s="3" t="s">
        <v>23</v>
      </c>
      <c r="C5" s="3">
        <v>895</v>
      </c>
      <c r="D5" s="4" t="s">
        <v>54</v>
      </c>
      <c r="E5" s="5"/>
      <c r="F5" s="6"/>
    </row>
    <row r="6" spans="1:6">
      <c r="A6" s="3" t="s">
        <v>38</v>
      </c>
      <c r="B6" s="3" t="s">
        <v>25</v>
      </c>
      <c r="C6" s="3">
        <v>687</v>
      </c>
      <c r="D6" s="7" t="s">
        <v>33</v>
      </c>
      <c r="E6" s="7" t="s">
        <v>45</v>
      </c>
      <c r="F6" s="7" t="s">
        <v>44</v>
      </c>
    </row>
    <row r="7" spans="1:6">
      <c r="A7" s="3" t="s">
        <v>39</v>
      </c>
      <c r="B7" s="3" t="s">
        <v>27</v>
      </c>
      <c r="C7" s="3">
        <v>783</v>
      </c>
      <c r="D7" s="9" t="s">
        <v>55</v>
      </c>
      <c r="E7" s="9" t="str">
        <f>VLOOKUP(D7,A1:C11,2,FALSE)</f>
        <v>I</v>
      </c>
      <c r="F7" s="9">
        <f>VLOOKUP(E7,B1:C11,2,FALSE)</f>
        <v>665</v>
      </c>
    </row>
    <row r="8" spans="1:6">
      <c r="A8" s="3" t="s">
        <v>56</v>
      </c>
      <c r="B8" s="3" t="s">
        <v>29</v>
      </c>
      <c r="C8" s="3">
        <v>789</v>
      </c>
    </row>
    <row r="9" spans="1:6">
      <c r="A9" s="3" t="s">
        <v>41</v>
      </c>
      <c r="B9" s="3" t="s">
        <v>31</v>
      </c>
      <c r="C9" s="3">
        <v>8798</v>
      </c>
    </row>
    <row r="10" spans="1:6">
      <c r="A10" s="3" t="s">
        <v>42</v>
      </c>
      <c r="B10" s="3" t="s">
        <v>47</v>
      </c>
      <c r="C10" s="3">
        <v>665</v>
      </c>
    </row>
    <row r="11" spans="1:6">
      <c r="A11" s="3" t="s">
        <v>43</v>
      </c>
      <c r="B11" s="3" t="s">
        <v>48</v>
      </c>
      <c r="C11" s="3">
        <v>695</v>
      </c>
    </row>
  </sheetData>
  <mergeCells count="1">
    <mergeCell ref="D5:F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8" sqref="F8"/>
    </sheetView>
  </sheetViews>
  <sheetFormatPr defaultColWidth="8.88888888888889" defaultRowHeight="14.4" outlineLevelCol="5"/>
  <cols>
    <col min="5" max="5" width="13.7777777777778" customWidth="1"/>
  </cols>
  <sheetData>
    <row r="1" spans="1:6">
      <c r="A1" s="1" t="s">
        <v>33</v>
      </c>
      <c r="B1" s="1" t="s">
        <v>46</v>
      </c>
      <c r="C1" s="1" t="s">
        <v>33</v>
      </c>
    </row>
    <row r="2" spans="1:6">
      <c r="A2" s="2" t="s">
        <v>34</v>
      </c>
      <c r="B2" s="3" t="s">
        <v>11</v>
      </c>
      <c r="C2" s="3">
        <v>856</v>
      </c>
    </row>
    <row r="3" spans="1:6">
      <c r="A3" s="3" t="s">
        <v>35</v>
      </c>
      <c r="B3" s="3" t="s">
        <v>16</v>
      </c>
      <c r="C3" s="3">
        <v>562</v>
      </c>
    </row>
    <row r="4" spans="1:6">
      <c r="A4" s="3" t="s">
        <v>36</v>
      </c>
      <c r="B4" s="3" t="s">
        <v>19</v>
      </c>
      <c r="C4" s="3">
        <v>487</v>
      </c>
    </row>
    <row r="5" spans="1:6">
      <c r="A5" s="3" t="s">
        <v>37</v>
      </c>
      <c r="B5" s="3" t="s">
        <v>23</v>
      </c>
      <c r="C5" s="3">
        <v>895</v>
      </c>
      <c r="D5" s="4" t="s">
        <v>57</v>
      </c>
      <c r="E5" s="5"/>
      <c r="F5" s="6"/>
    </row>
    <row r="6" spans="1:6">
      <c r="A6" s="3" t="s">
        <v>38</v>
      </c>
      <c r="B6" s="3" t="s">
        <v>25</v>
      </c>
      <c r="C6" s="3">
        <v>687</v>
      </c>
      <c r="D6" s="7" t="s">
        <v>33</v>
      </c>
      <c r="E6" s="7" t="s">
        <v>45</v>
      </c>
      <c r="F6" s="7" t="s">
        <v>44</v>
      </c>
    </row>
    <row r="7" spans="1:6">
      <c r="A7" s="3" t="s">
        <v>39</v>
      </c>
      <c r="B7" s="3" t="s">
        <v>27</v>
      </c>
      <c r="C7" s="3">
        <v>783</v>
      </c>
      <c r="D7" s="8" t="s">
        <v>39</v>
      </c>
      <c r="E7" s="8" t="str">
        <f>_xlfn.XLOOKUP(D7,A1:A11,B1:B11,"Something is missing",0,1)</f>
        <v>F</v>
      </c>
      <c r="F7" s="8">
        <f>_xlfn.XLOOKUP(E7,B1:B11,C1:C11,"Something is Missing",0,1)</f>
        <v>783</v>
      </c>
    </row>
    <row r="8" spans="1:6">
      <c r="A8" s="3" t="s">
        <v>56</v>
      </c>
      <c r="B8" s="3" t="s">
        <v>29</v>
      </c>
      <c r="C8" s="3">
        <v>789</v>
      </c>
    </row>
    <row r="9" spans="1:6">
      <c r="A9" s="3" t="s">
        <v>41</v>
      </c>
      <c r="B9" s="3" t="s">
        <v>31</v>
      </c>
      <c r="C9" s="3">
        <v>8798</v>
      </c>
    </row>
    <row r="10" spans="1:6">
      <c r="A10" s="3" t="s">
        <v>42</v>
      </c>
      <c r="B10" s="3" t="s">
        <v>47</v>
      </c>
      <c r="C10" s="3">
        <v>665</v>
      </c>
    </row>
    <row r="11" spans="1:6">
      <c r="A11" s="3" t="s">
        <v>43</v>
      </c>
      <c r="B11" s="3" t="s">
        <v>48</v>
      </c>
      <c r="C11" s="3">
        <v>695</v>
      </c>
    </row>
  </sheetData>
  <mergeCells count="1">
    <mergeCell ref="D5:F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BSzpCZZto1RJRGOYJZeOe/AAAAAAIAAAAAABBmAAAAAQAAIAAAAK4Scs6v6jrJKAuVRCwIQWJn50RkJAlnP72hqVixfrufAAAAAA6AAAAAAgAAIAAAAIDyiakeiqXkOBr6wvcl1adqAtwuZrIg0Mau4Pync11FUAAAABpFEBn0xCjSEs5w54BLnxcIN9xSDRyuNHPFftSH1/+JKgXl5s3EyZkxrdsfFpNlfNysg1oIdc6WgrLiZHqRNfbnBw94krFz4rs7BffZRWs5QAAAAEF54gMsZK/jhCG9h1TgnedqqtnU7Srm8tppELR+1r1xYhXkd2buF7HbHZo1P6HC1bkAsNMO+gUCAgEG7+Rvctw=</DataMashup>
</file>

<file path=customXml/itemProps1.xml><?xml version="1.0" encoding="utf-8"?>
<ds:datastoreItem xmlns:ds="http://schemas.openxmlformats.org/officeDocument/2006/customXml" ds:itemID="{ECDBB26B-5A60-475F-8CD9-DD98CB833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LOOKUP</vt:lpstr>
      <vt:lpstr>HLOOKUP</vt:lpstr>
      <vt:lpstr>VLOOKUP</vt:lpstr>
      <vt:lpstr>Xlookup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Malekar</dc:creator>
  <cp:lastModifiedBy>HP</cp:lastModifiedBy>
  <dcterms:created xsi:type="dcterms:W3CDTF">2026-07-03T05:57:00Z</dcterms:created>
  <dcterms:modified xsi:type="dcterms:W3CDTF">2026-07-18T07:44:13Z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3DFEC76E1DAF4076A8AC16A66AFEC2CC_12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