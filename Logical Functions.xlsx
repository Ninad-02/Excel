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T Vedant\"/>
    </mc:Choice>
  </mc:AlternateContent>
  <xr:revisionPtr revIDLastSave="0" documentId="13_ncr:1_{DE3CB96D-E673-48D5-B7D6-EE5074B9B0F7}" xr6:coauthVersionLast="47" xr6:coauthVersionMax="47" xr10:uidLastSave="{00000000-0000-0000-0000-000000000000}"/>
  <bookViews>
    <workbookView xWindow="-108" yWindow="-108" windowWidth="23256" windowHeight="12456" xr2:uid="{46C3A5F5-33CA-49BF-85C2-128EAD3B0A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0" i="1" l="1"/>
  <c r="H30" i="1" s="1"/>
  <c r="N23" i="1"/>
  <c r="O23" i="1" s="1"/>
  <c r="N15" i="1"/>
  <c r="I3" i="1"/>
  <c r="I4" i="1"/>
  <c r="I5" i="1"/>
  <c r="I6" i="1"/>
  <c r="I7" i="1"/>
  <c r="I8" i="1"/>
  <c r="I9" i="1"/>
  <c r="I2" i="1"/>
  <c r="G2" i="1"/>
  <c r="G3" i="1"/>
  <c r="G4" i="1"/>
  <c r="G5" i="1"/>
  <c r="G6" i="1"/>
  <c r="G7" i="1"/>
  <c r="G8" i="1"/>
  <c r="G9" i="1"/>
  <c r="J2" i="1" a="1"/>
  <c r="J2" i="1" s="1"/>
  <c r="N16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/>
  <c r="H2" i="1"/>
  <c r="H3" i="1"/>
  <c r="H4" i="1"/>
  <c r="H5" i="1"/>
  <c r="H6" i="1"/>
  <c r="H7" i="1"/>
  <c r="H8" i="1"/>
  <c r="H9" i="1"/>
  <c r="F3" i="1" a="1"/>
  <c r="F3" i="1" s="1"/>
  <c r="F2" i="1" a="1"/>
  <c r="F2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E3" i="1"/>
  <c r="E4" i="1"/>
  <c r="E5" i="1"/>
  <c r="E6" i="1"/>
  <c r="E7" i="1"/>
  <c r="E8" i="1"/>
  <c r="E9" i="1"/>
  <c r="E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<sst xmlns="http://schemas.openxmlformats.org/spreadsheetml/2006/main" count="88" uniqueCount="50">
  <si>
    <t>Full Name</t>
  </si>
  <si>
    <t xml:space="preserve">Subject </t>
  </si>
  <si>
    <t xml:space="preserve">Marathi </t>
  </si>
  <si>
    <t>A</t>
  </si>
  <si>
    <t>English</t>
  </si>
  <si>
    <t>B</t>
  </si>
  <si>
    <t>C</t>
  </si>
  <si>
    <t>D</t>
  </si>
  <si>
    <t>E</t>
  </si>
  <si>
    <t>G</t>
  </si>
  <si>
    <t>H</t>
  </si>
  <si>
    <t>I</t>
  </si>
  <si>
    <t>F</t>
  </si>
  <si>
    <t>J</t>
  </si>
  <si>
    <t>Marathi</t>
  </si>
  <si>
    <t xml:space="preserve">Polytical Science </t>
  </si>
  <si>
    <t xml:space="preserve">Data Science </t>
  </si>
  <si>
    <t xml:space="preserve">Information Technology </t>
  </si>
  <si>
    <t>IF</t>
  </si>
  <si>
    <t>IFS</t>
  </si>
  <si>
    <t>And</t>
  </si>
  <si>
    <t>Or</t>
  </si>
  <si>
    <t>NOT</t>
  </si>
  <si>
    <t>IFERROR</t>
  </si>
  <si>
    <t>Subject</t>
  </si>
  <si>
    <t>Marks</t>
  </si>
  <si>
    <t>Geography</t>
  </si>
  <si>
    <t>Machine Learning</t>
  </si>
  <si>
    <t>Python</t>
  </si>
  <si>
    <t>History</t>
  </si>
  <si>
    <t>Lookup Type</t>
  </si>
  <si>
    <t>Lookup Vector</t>
  </si>
  <si>
    <t>Lookup array</t>
  </si>
  <si>
    <t xml:space="preserve"> </t>
  </si>
  <si>
    <t>Product ID</t>
  </si>
  <si>
    <t>Product name</t>
  </si>
  <si>
    <t>Sales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</si>
  <si>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</si>
  <si>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</si>
  <si>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</si>
  <si>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</si>
  <si>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</si>
  <si>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</si>
  <si>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</si>
  <si>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</si>
  <si>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</si>
  <si>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</si>
  <si>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Product Name</t>
  </si>
  <si>
    <t>p7p</t>
  </si>
  <si>
    <t>P9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</si>
</sst>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Border="1"/>
    <xf numFmtId="0" fontId="0" fillId="4" borderId="1" xfId="0" applyFill="1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B0F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23439D-2AB2-4DEF-9396-F867AD0A6966}" name="Table2" displayName="Table2" ref="A1:J20" totalsRowShown="0" headerRowDxfId="8">
  <autoFilter ref="A1:J20" xr:uid="{8323439D-2AB2-4DEF-9396-F867AD0A6966}"/>
  <tableColumns count="10">
    <tableColumn id="1" xr3:uid="{3BE2664E-37F5-4866-BDAB-C328E00C3A2D}" name="Full Name"/>
    <tableColumn id="2" xr3:uid="{7FF27FB0-2C54-44B6-9E94-57D2709BA04A}" name="Subject "/>
    <tableColumn id="3" xr3:uid="{C1D5C65C-BCF9-4EA5-B9ED-E0FD12227ED1}" name="Marathi " dataDxfId="7"/>
    <tableColumn id="4" xr3:uid="{41432D1C-2F7E-4289-A75C-4FCED3605B66}" name="English" dataDxfId="6"/>
    <tableColumn id="5" xr3:uid="{6DEA30CA-A567-4CD8-B42D-857ACA0B5030}" name="IF" dataDxfId="5">
      <calculatedColumnFormula>IF(D2&gt;50,"Good Marks","Bad Marks")</calculatedColumnFormula>
    </tableColumn>
    <tableColumn id="6" xr3:uid="{731116AB-5BB3-43DE-AB37-8A4CA6283183}" name="IFS" dataDxfId="4">
      <calculatedColumnFormula array="1">_xlfn.IFS(Table2[[#This Row],[English]]&lt;50,"Bad Marks",Table2[[#This Row],[English]]&lt;=70,"Average Marks",Table2[[#This Row],[English]]&gt;70,"Good Marks",TRUE,"need review")</calculatedColumnFormula>
    </tableColumn>
    <tableColumn id="7" xr3:uid="{B103FAB5-F38C-419C-BAB5-7328A6CF65C6}" name="And" dataDxfId="3">
      <calculatedColumnFormula>AND(Table2[[#This Row],[English]]&gt;=60,Table2[[#This Row],[Full Name]]="A")</calculatedColumnFormula>
    </tableColumn>
    <tableColumn id="8" xr3:uid="{EF8B5C27-F982-45AC-A190-CBAD4BA76D75}" name="Or" dataDxfId="2">
      <calculatedColumnFormula>OR(Table2[[#This Row],[English]]&gt;=60,Table2[[#This Row],[Full Name]]="A")</calculatedColumnFormula>
    </tableColumn>
    <tableColumn id="9" xr3:uid="{2A1DF2FC-6C38-414C-A997-5F997FDF957F}" name="NOT" dataDxfId="1">
      <calculatedColumnFormula>NOT(AND( Table2[[#This Row],[English]]&gt;=60,Table2[[#This Row],[Full Name]]="A"))</calculatedColumnFormula>
    </tableColumn>
    <tableColumn id="10" xr3:uid="{614E8827-64B9-4A7F-8E7E-4C592AAAF437}" name="IFERROR" dataDxfId="0">
      <calculatedColumnFormula array="1">IFERROR(_xlfn.IFS(Table2[[#This Row],[English]]&lt;50,"Average Marks",Table2[[#This Row],[English]]&gt;=60,"Good Marks"),"Something is Missing")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C21EC-ADE2-4A38-9AEB-1888F13E8DF5}">
  <dimension ref="A1:Y43"/>
  <sheetViews>
    <sheetView tabSelected="1" topLeftCell="A12" workbookViewId="0">
      <selection activeCell="K32" sqref="K32"/>
    </sheetView>
  </sheetViews>
  <sheetFormatPr defaultRowHeight="14.4" x14ac:dyDescent="0.3"/>
  <cols>
    <col min="1" max="1" width="13.77734375" bestFit="1" customWidth="1"/>
    <col min="2" max="2" width="21.33203125" bestFit="1" customWidth="1"/>
    <col min="3" max="3" width="12.5546875" bestFit="1" customWidth="1"/>
    <col min="4" max="4" width="11.33203125" bestFit="1" customWidth="1"/>
    <col min="5" max="5" width="10.88671875" bestFit="1" customWidth="1"/>
    <col min="6" max="6" width="13.109375" bestFit="1" customWidth="1"/>
    <col min="7" max="7" width="12.6640625" bestFit="1" customWidth="1"/>
    <col min="8" max="8" width="7.44140625" bestFit="1" customWidth="1"/>
    <col min="10" max="10" width="17.88671875" bestFit="1" customWidth="1"/>
    <col min="13" max="13" width="15.44140625" bestFit="1" customWidth="1"/>
    <col min="14" max="14" width="12.6640625" bestFit="1" customWidth="1"/>
    <col min="15" max="15" width="12.88671875" bestFit="1" customWidth="1"/>
  </cols>
  <sheetData>
    <row r="1" spans="1:15" x14ac:dyDescent="0.3">
      <c r="A1" s="3" t="s">
        <v>0</v>
      </c>
      <c r="B1" s="3" t="s">
        <v>1</v>
      </c>
      <c r="C1" s="3" t="s">
        <v>2</v>
      </c>
      <c r="D1" s="3" t="s">
        <v>4</v>
      </c>
      <c r="E1" s="3" t="s">
        <v>18</v>
      </c>
      <c r="F1" s="3" t="s">
        <v>19</v>
      </c>
      <c r="G1" s="4" t="s">
        <v>20</v>
      </c>
      <c r="H1" s="5" t="s">
        <v>21</v>
      </c>
      <c r="I1" s="6" t="s">
        <v>22</v>
      </c>
      <c r="J1" s="6" t="s">
        <v>23</v>
      </c>
    </row>
    <row r="2" spans="1:15" x14ac:dyDescent="0.3">
      <c r="A2" t="s">
        <v>3</v>
      </c>
      <c r="B2" t="s">
        <v>14</v>
      </c>
      <c r="C2" s="1">
        <v>20</v>
      </c>
      <c r="D2" s="1">
        <v>90</v>
      </c>
      <c r="E2" s="1" t="str">
        <f>IF(D2&gt;50,"Good Marks","Bad Marks")</f>
        <v>Good Marks</v>
      </c>
      <c r="F2" t="str" cm="1">
        <f t="array" ref="F2">_xlfn.IFS(Table2[[#This Row],[English]]&lt;50,"Bad Marks",Table2[[#This Row],[English]]&lt;=70,"Average Marks",Table2[[#This Row],[English]]&gt;70,"Good Marks",TRUE,"need review")</f>
        <v>Good Marks</v>
      </c>
      <c r="G2" s="1" t="b">
        <f>AND(Table2[[#This Row],[English]]&gt;=60,Table2[[#This Row],[Full Name]]="A")</f>
        <v>1</v>
      </c>
      <c r="H2" s="1" t="b">
        <f>OR(Table2[[#This Row],[English]]&gt;=60,Table2[[#This Row],[Full Name]]="A")</f>
        <v>1</v>
      </c>
      <c r="I2" t="b">
        <f>NOT(AND( Table2[[#This Row],[English]]&gt;=60,Table2[[#This Row],[Full Name]]="A"))</f>
        <v>0</v>
      </c>
      <c r="J2" t="str" cm="1">
        <f t="array" ref="J2">IFERROR(_xlfn.IFS(Table2[[#This Row],[English]]&lt;50,"Average Marks",Table2[[#This Row],[English]]&gt;=60,"Good Marks"),"Something is Missing")</f>
        <v>Good Marks</v>
      </c>
    </row>
    <row r="3" spans="1:15" x14ac:dyDescent="0.3">
      <c r="A3" t="s">
        <v>5</v>
      </c>
      <c r="B3" t="s">
        <v>4</v>
      </c>
      <c r="C3" s="1">
        <v>50</v>
      </c>
      <c r="D3" s="1">
        <v>55</v>
      </c>
      <c r="E3" s="1" t="str">
        <f t="shared" ref="E3:E20" si="0">IF(D3&gt;50,"Good Marks","Bad Marks")</f>
        <v>Good Marks</v>
      </c>
      <c r="F3" t="str" cm="1">
        <f t="array" ref="F3">_xlfn.IFS(Table2[[#This Row],[English]]&lt;50,"Bad Marks",Table2[[#This Row],[English]]&lt;=70,"Average Marks",Table2[[#This Row],[English]]&gt;70,"Good Marks",TRUE,"need review")</f>
        <v>Average Marks</v>
      </c>
      <c r="G3" s="1" t="b">
        <f>AND(Table2[[#This Row],[English]]&gt;=60,Table2[[#This Row],[Full Name]]="A")</f>
        <v>0</v>
      </c>
      <c r="H3" s="1" t="b">
        <f>OR(Table2[[#This Row],[English]]&gt;=60,Table2[[#This Row],[Full Name]]="A")</f>
        <v>0</v>
      </c>
      <c r="I3" t="b">
        <f>NOT(AND( Table2[[#This Row],[English]]&gt;=60,Table2[[#This Row],[Full Name]]="A"))</f>
        <v>1</v>
      </c>
      <c r="J3" t="str" cm="1">
        <f t="array" ref="J3">IFERROR(_xlfn.IFS(Table2[[#This Row],[English]]&lt;50,"Average Marks",Table2[[#This Row],[English]]&gt;=60,"Good Marks"),"Something is Missing")</f>
        <v>Something is Missing</v>
      </c>
    </row>
    <row r="4" spans="1:15" x14ac:dyDescent="0.3">
      <c r="A4" t="s">
        <v>6</v>
      </c>
      <c r="B4" t="s">
        <v>15</v>
      </c>
      <c r="C4" s="1">
        <v>60</v>
      </c>
      <c r="D4" s="1">
        <v>78</v>
      </c>
      <c r="E4" s="1" t="str">
        <f t="shared" si="0"/>
        <v>Good Marks</v>
      </c>
      <c r="F4" t="str" cm="1">
        <f t="array" ref="F4">_xlfn.IFS(Table2[[#This Row],[English]]&lt;50,"Bad Marks",Table2[[#This Row],[English]]&lt;=70,"Average Marks",Table2[[#This Row],[English]]&gt;70,"Good Marks",TRUE,"need review")</f>
        <v>Good Marks</v>
      </c>
      <c r="G4" s="1" t="b">
        <f>AND(Table2[[#This Row],[English]]&gt;=60,Table2[[#This Row],[Full Name]]="A")</f>
        <v>0</v>
      </c>
      <c r="H4" s="1" t="b">
        <f>OR(Table2[[#This Row],[English]]&gt;=60,Table2[[#This Row],[Full Name]]="A")</f>
        <v>1</v>
      </c>
      <c r="I4" t="b">
        <f>NOT(AND( Table2[[#This Row],[English]]&gt;=60,Table2[[#This Row],[Full Name]]="A"))</f>
        <v>1</v>
      </c>
      <c r="J4" t="str" cm="1">
        <f t="array" ref="J4">IFERROR(_xlfn.IFS(Table2[[#This Row],[English]]&lt;50,"Average Marks",Table2[[#This Row],[English]]&gt;=60,"Good Marks"),"Something is Missing")</f>
        <v>Good Marks</v>
      </c>
    </row>
    <row r="5" spans="1:15" x14ac:dyDescent="0.3">
      <c r="A5" t="s">
        <v>7</v>
      </c>
      <c r="B5" t="s">
        <v>28</v>
      </c>
      <c r="C5" s="1">
        <v>77</v>
      </c>
      <c r="D5" s="1">
        <v>78</v>
      </c>
      <c r="E5" s="1" t="str">
        <f t="shared" si="0"/>
        <v>Good Marks</v>
      </c>
      <c r="F5" t="str" cm="1">
        <f t="array" ref="F5">_xlfn.IFS(Table2[[#This Row],[English]]&lt;50,"Bad Marks",Table2[[#This Row],[English]]&lt;=70,"Average Marks",Table2[[#This Row],[English]]&gt;70,"Good Marks",TRUE,"need review")</f>
        <v>Good Marks</v>
      </c>
      <c r="G5" s="1" t="b">
        <f>AND(Table2[[#This Row],[English]]&gt;=60,Table2[[#This Row],[Full Name]]="A")</f>
        <v>0</v>
      </c>
      <c r="H5" s="1" t="b">
        <f>OR(Table2[[#This Row],[English]]&gt;=60,Table2[[#This Row],[Full Name]]="A")</f>
        <v>1</v>
      </c>
      <c r="I5" t="b">
        <f>NOT(AND( Table2[[#This Row],[English]]&gt;=60,Table2[[#This Row],[Full Name]]="A"))</f>
        <v>1</v>
      </c>
      <c r="J5" t="str" cm="1">
        <f t="array" ref="J5">IFERROR(_xlfn.IFS(Table2[[#This Row],[English]]&lt;50,"Average Marks",Table2[[#This Row],[English]]&gt;=60,"Good Marks"),"Something is Missing")</f>
        <v>Good Marks</v>
      </c>
    </row>
    <row r="6" spans="1:15" x14ac:dyDescent="0.3">
      <c r="A6" t="s">
        <v>8</v>
      </c>
      <c r="B6" t="s">
        <v>16</v>
      </c>
      <c r="C6" s="1">
        <v>89</v>
      </c>
      <c r="D6" s="1">
        <v>70</v>
      </c>
      <c r="E6" s="1" t="str">
        <f t="shared" si="0"/>
        <v>Good Marks</v>
      </c>
      <c r="F6" t="str" cm="1">
        <f t="array" ref="F6">_xlfn.IFS(Table2[[#This Row],[English]]&lt;50,"Bad Marks",Table2[[#This Row],[English]]&lt;=70,"Average Marks",Table2[[#This Row],[English]]&gt;70,"Good Marks",TRUE,"need review")</f>
        <v>Average Marks</v>
      </c>
      <c r="G6" s="1" t="b">
        <f>AND(Table2[[#This Row],[English]]&gt;=60,Table2[[#This Row],[Full Name]]="A")</f>
        <v>0</v>
      </c>
      <c r="H6" s="1" t="b">
        <f>OR(Table2[[#This Row],[English]]&gt;=60,Table2[[#This Row],[Full Name]]="A")</f>
        <v>1</v>
      </c>
      <c r="I6" t="b">
        <f>NOT(AND( Table2[[#This Row],[English]]&gt;=60,Table2[[#This Row],[Full Name]]="A"))</f>
        <v>1</v>
      </c>
      <c r="J6" t="str" cm="1">
        <f t="array" ref="J6">IFERROR(_xlfn.IFS(Table2[[#This Row],[English]]&lt;50,"Average Marks",Table2[[#This Row],[English]]&gt;=60,"Good Marks"),"Something is Missing")</f>
        <v>Good Marks</v>
      </c>
    </row>
    <row r="7" spans="1:15" x14ac:dyDescent="0.3">
      <c r="A7" t="s">
        <v>12</v>
      </c>
      <c r="B7" t="s">
        <v>26</v>
      </c>
      <c r="C7" s="1">
        <v>26</v>
      </c>
      <c r="D7" s="1">
        <v>89</v>
      </c>
      <c r="E7" s="1" t="str">
        <f t="shared" si="0"/>
        <v>Good Marks</v>
      </c>
      <c r="F7" t="str" cm="1">
        <f t="array" ref="F7">_xlfn.IFS(Table2[[#This Row],[English]]&lt;50,"Bad Marks",Table2[[#This Row],[English]]&lt;=70,"Average Marks",Table2[[#This Row],[English]]&gt;70,"Good Marks",TRUE,"need review")</f>
        <v>Good Marks</v>
      </c>
      <c r="G7" s="1" t="b">
        <f>AND(Table2[[#This Row],[English]]&gt;=60,Table2[[#This Row],[Full Name]]="A")</f>
        <v>0</v>
      </c>
      <c r="H7" s="1" t="b">
        <f>OR(Table2[[#This Row],[English]]&gt;=60,Table2[[#This Row],[Full Name]]="A")</f>
        <v>1</v>
      </c>
      <c r="I7" t="b">
        <f>NOT(AND( Table2[[#This Row],[English]]&gt;=60,Table2[[#This Row],[Full Name]]="A"))</f>
        <v>1</v>
      </c>
      <c r="J7" t="str" cm="1">
        <f t="array" ref="J7">IFERROR(_xlfn.IFS(Table2[[#This Row],[English]]&lt;50,"Average Marks",Table2[[#This Row],[English]]&gt;=60,"Good Marks"),"Something is Missing")</f>
        <v>Good Marks</v>
      </c>
    </row>
    <row r="8" spans="1:15" x14ac:dyDescent="0.3">
      <c r="A8" t="s">
        <v>9</v>
      </c>
      <c r="B8" t="s">
        <v>17</v>
      </c>
      <c r="C8" s="1">
        <v>54</v>
      </c>
      <c r="D8" s="1">
        <v>85</v>
      </c>
      <c r="E8" s="1" t="str">
        <f t="shared" si="0"/>
        <v>Good Marks</v>
      </c>
      <c r="F8" t="str" cm="1">
        <f t="array" ref="F8">_xlfn.IFS(Table2[[#This Row],[English]]&lt;50,"Bad Marks",Table2[[#This Row],[English]]&lt;=70,"Average Marks",Table2[[#This Row],[English]]&gt;70,"Good Marks",TRUE,"need review")</f>
        <v>Good Marks</v>
      </c>
      <c r="G8" s="1" t="b">
        <f>AND(Table2[[#This Row],[English]]&gt;=60,Table2[[#This Row],[Full Name]]="A")</f>
        <v>0</v>
      </c>
      <c r="H8" s="1" t="b">
        <f>OR(Table2[[#This Row],[English]]&gt;=60,Table2[[#This Row],[Full Name]]="A")</f>
        <v>1</v>
      </c>
      <c r="I8" t="b">
        <f>NOT(AND( Table2[[#This Row],[English]]&gt;=60,Table2[[#This Row],[Full Name]]="A"))</f>
        <v>1</v>
      </c>
      <c r="J8" t="str" cm="1">
        <f t="array" ref="J8">IFERROR(_xlfn.IFS(Table2[[#This Row],[English]]&lt;50,"Average Marks",Table2[[#This Row],[English]]&gt;=60,"Good Marks"),"Something is Missing")</f>
        <v>Good Marks</v>
      </c>
    </row>
    <row r="9" spans="1:15" x14ac:dyDescent="0.3">
      <c r="A9" t="s">
        <v>10</v>
      </c>
      <c r="B9" t="s">
        <v>27</v>
      </c>
      <c r="C9" s="1">
        <v>85</v>
      </c>
      <c r="D9" s="1">
        <v>86</v>
      </c>
      <c r="E9" s="1" t="str">
        <f t="shared" si="0"/>
        <v>Good Marks</v>
      </c>
      <c r="F9" t="str" cm="1">
        <f t="array" ref="F9">_xlfn.IFS(Table2[[#This Row],[English]]&lt;50,"Bad Marks",Table2[[#This Row],[English]]&lt;=70,"Average Marks",Table2[[#This Row],[English]]&gt;70,"Good Marks",TRUE,"need review")</f>
        <v>Good Marks</v>
      </c>
      <c r="G9" s="1" t="b">
        <f>AND(Table2[[#This Row],[English]]&gt;=60,Table2[[#This Row],[Full Name]]="A")</f>
        <v>0</v>
      </c>
      <c r="H9" s="1" t="b">
        <f>OR(Table2[[#This Row],[English]]&gt;=60,Table2[[#This Row],[Full Name]]="A")</f>
        <v>1</v>
      </c>
      <c r="I9" t="b">
        <f>NOT(AND( Table2[[#This Row],[English]]&gt;=60,Table2[[#This Row],[Full Name]]="A"))</f>
        <v>1</v>
      </c>
      <c r="J9" t="str" cm="1">
        <f t="array" ref="J9">IFERROR(_xlfn.IFS(Table2[[#This Row],[English]]&lt;50,"Average Marks",Table2[[#This Row],[English]]&gt;=60,"Good Marks"),"Something is Missing")</f>
        <v>Good Marks</v>
      </c>
      <c r="O9" t="s">
        <v>33</v>
      </c>
    </row>
    <row r="10" spans="1:15" x14ac:dyDescent="0.3">
      <c r="A10" s="7"/>
      <c r="B10" s="7"/>
      <c r="C10" s="14"/>
      <c r="D10" s="14"/>
      <c r="E10" s="14"/>
      <c r="F10" s="7"/>
      <c r="G10" s="14"/>
      <c r="H10" s="14"/>
      <c r="I10" s="7"/>
      <c r="J10" s="7"/>
    </row>
    <row r="11" spans="1:15" x14ac:dyDescent="0.3">
      <c r="A11" s="7"/>
      <c r="B11" s="7"/>
      <c r="C11" s="14"/>
      <c r="D11" s="14"/>
      <c r="E11" s="14"/>
      <c r="F11" s="7"/>
      <c r="G11" s="14"/>
      <c r="H11" s="14"/>
      <c r="I11" s="7"/>
      <c r="J11" s="7"/>
    </row>
    <row r="12" spans="1:15" x14ac:dyDescent="0.3">
      <c r="A12" s="7"/>
      <c r="B12" s="7"/>
      <c r="C12" s="14"/>
      <c r="D12" s="14"/>
      <c r="E12" s="14"/>
      <c r="F12" s="7"/>
      <c r="G12" s="14"/>
      <c r="H12" s="14"/>
      <c r="I12" s="7"/>
      <c r="J12" s="7"/>
    </row>
    <row r="13" spans="1:15" x14ac:dyDescent="0.3">
      <c r="A13" s="7"/>
      <c r="B13" s="7"/>
      <c r="C13" s="14"/>
      <c r="D13" s="14"/>
      <c r="E13" s="14"/>
      <c r="F13" s="7"/>
      <c r="G13" s="14"/>
      <c r="H13" s="14"/>
      <c r="I13" s="7"/>
      <c r="J13" s="7"/>
    </row>
    <row r="14" spans="1:15" x14ac:dyDescent="0.3">
      <c r="A14" s="7"/>
      <c r="B14" s="7"/>
      <c r="C14" s="14"/>
      <c r="D14" s="14"/>
      <c r="E14" s="14"/>
      <c r="F14" s="7"/>
      <c r="G14" s="14"/>
      <c r="H14" s="14"/>
      <c r="I14" s="7"/>
      <c r="J14" s="7"/>
      <c r="M14" s="8" t="s">
        <v>24</v>
      </c>
      <c r="N14" s="8" t="s">
        <v>25</v>
      </c>
      <c r="O14" s="8" t="s">
        <v>30</v>
      </c>
    </row>
    <row r="15" spans="1:15" x14ac:dyDescent="0.3">
      <c r="A15" s="7"/>
      <c r="B15" s="7"/>
      <c r="C15" s="14"/>
      <c r="D15" s="14"/>
      <c r="E15" s="14"/>
      <c r="F15" s="7"/>
      <c r="G15" s="14"/>
      <c r="H15" s="14"/>
      <c r="I15" s="7"/>
      <c r="J15" s="7"/>
      <c r="M15" s="2" t="s">
        <v>29</v>
      </c>
      <c r="N15" s="2">
        <f>LOOKUP(M15,B2:B9,D2:D9)</f>
        <v>55</v>
      </c>
      <c r="O15" s="2" t="s">
        <v>31</v>
      </c>
    </row>
    <row r="16" spans="1:15" x14ac:dyDescent="0.3">
      <c r="A16" s="7"/>
      <c r="B16" s="7"/>
      <c r="C16" s="14"/>
      <c r="D16" s="14"/>
      <c r="E16" s="14"/>
      <c r="F16" s="7"/>
      <c r="G16" s="14"/>
      <c r="H16" s="14"/>
      <c r="I16" s="7"/>
      <c r="J16" s="7"/>
      <c r="M16" s="2" t="s">
        <v>27</v>
      </c>
      <c r="N16" s="2" t="str">
        <f>LOOKUP(M16,A2:J9)</f>
        <v>Good Marks</v>
      </c>
      <c r="O16" s="2" t="s">
        <v>32</v>
      </c>
    </row>
    <row r="17" spans="1:25" x14ac:dyDescent="0.3">
      <c r="A17" s="7"/>
      <c r="B17" s="7"/>
      <c r="C17" s="14"/>
      <c r="D17" s="14"/>
      <c r="E17" s="14"/>
      <c r="F17" s="7"/>
      <c r="G17" s="14"/>
      <c r="H17" s="14"/>
      <c r="I17" s="7"/>
      <c r="J17" s="7"/>
    </row>
    <row r="18" spans="1:25" x14ac:dyDescent="0.3">
      <c r="A18" s="7"/>
      <c r="B18" s="7"/>
      <c r="C18" s="14"/>
      <c r="D18" s="14"/>
      <c r="E18" s="14"/>
      <c r="F18" s="7"/>
      <c r="G18" s="14"/>
      <c r="H18" s="14"/>
      <c r="I18" s="7"/>
      <c r="J18" s="7"/>
    </row>
    <row r="19" spans="1:25" x14ac:dyDescent="0.3">
      <c r="A19" s="7"/>
      <c r="B19" s="7"/>
      <c r="C19" s="14"/>
      <c r="D19" s="14"/>
      <c r="E19" s="14"/>
      <c r="F19" s="7"/>
      <c r="G19" s="14"/>
      <c r="H19" s="14"/>
      <c r="I19" s="7"/>
      <c r="J19" s="7"/>
    </row>
    <row r="20" spans="1:25" x14ac:dyDescent="0.3">
      <c r="A20" s="7"/>
      <c r="B20" s="7"/>
      <c r="C20" s="14"/>
      <c r="D20" s="14"/>
      <c r="E20" s="14"/>
      <c r="F20" s="7"/>
      <c r="G20" s="14"/>
      <c r="H20" s="14"/>
      <c r="I20" s="7"/>
      <c r="J20" s="7"/>
    </row>
    <row r="22" spans="1:25" x14ac:dyDescent="0.3">
      <c r="A22" s="9" t="s">
        <v>34</v>
      </c>
      <c r="B22" s="10" t="s">
        <v>37</v>
      </c>
      <c r="C22" s="10" t="s">
        <v>38</v>
      </c>
      <c r="D22" s="10" t="s">
        <v>39</v>
      </c>
      <c r="E22" s="10" t="s">
        <v>40</v>
      </c>
      <c r="F22" s="10" t="s">
        <v>41</v>
      </c>
      <c r="G22" s="10" t="s">
        <v>42</v>
      </c>
      <c r="H22" s="10" t="s">
        <v>43</v>
      </c>
      <c r="I22" s="10" t="s">
        <v>44</v>
      </c>
      <c r="J22" s="10" t="s">
        <v>45</v>
      </c>
      <c r="K22" s="10" t="s">
        <v>46</v>
      </c>
      <c r="M22" s="12" t="s">
        <v>34</v>
      </c>
      <c r="N22" s="12" t="s">
        <v>47</v>
      </c>
      <c r="O22" s="12" t="s">
        <v>36</v>
      </c>
    </row>
    <row r="23" spans="1:25" x14ac:dyDescent="0.3">
      <c r="A23" s="9" t="s">
        <v>36</v>
      </c>
      <c r="B23" s="10">
        <v>856</v>
      </c>
      <c r="C23" s="10">
        <v>562</v>
      </c>
      <c r="D23" s="10">
        <v>487</v>
      </c>
      <c r="E23" s="10">
        <v>895</v>
      </c>
      <c r="F23" s="10">
        <v>687</v>
      </c>
      <c r="G23" s="10">
        <v>783</v>
      </c>
      <c r="H23" s="10">
        <v>789</v>
      </c>
      <c r="I23" s="10">
        <v>879</v>
      </c>
      <c r="J23" s="10">
        <v>665</v>
      </c>
      <c r="K23" s="10">
        <v>695</v>
      </c>
      <c r="M23" s="11" t="s">
        <v>45</v>
      </c>
      <c r="N23" s="11" t="str">
        <f>LOOKUP(M23,A22:K22,A24:K24)</f>
        <v>I</v>
      </c>
      <c r="O23" s="11">
        <f>LOOKUP(N23,A24:K24,A23:K23)</f>
        <v>665</v>
      </c>
    </row>
    <row r="24" spans="1:25" x14ac:dyDescent="0.3">
      <c r="A24" s="9" t="s">
        <v>35</v>
      </c>
      <c r="B24" s="10" t="s">
        <v>3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12</v>
      </c>
      <c r="H24" s="10" t="s">
        <v>9</v>
      </c>
      <c r="I24" s="10" t="s">
        <v>10</v>
      </c>
      <c r="J24" s="10" t="s">
        <v>11</v>
      </c>
      <c r="K24" s="10" t="s">
        <v>13</v>
      </c>
      <c r="U24" s="13"/>
      <c r="V24" s="7"/>
      <c r="W24" s="7"/>
      <c r="X24" s="7"/>
      <c r="Y24" s="7"/>
    </row>
    <row r="25" spans="1:25" x14ac:dyDescent="0.3">
      <c r="U25" s="7"/>
      <c r="V25" s="7"/>
      <c r="W25" s="7"/>
      <c r="X25" s="7"/>
      <c r="Y25" s="7"/>
    </row>
    <row r="26" spans="1:25" x14ac:dyDescent="0.3">
      <c r="U26" s="7"/>
      <c r="V26" s="7"/>
      <c r="W26" s="7"/>
      <c r="X26" s="7"/>
      <c r="Y26" s="7"/>
    </row>
    <row r="27" spans="1:25" x14ac:dyDescent="0.3">
      <c r="A27" s="13" t="s">
        <v>34</v>
      </c>
      <c r="B27" s="1" t="s">
        <v>35</v>
      </c>
      <c r="C27" s="1" t="s">
        <v>36</v>
      </c>
      <c r="U27" s="7"/>
      <c r="V27" s="7"/>
      <c r="W27" s="7"/>
      <c r="X27" s="7"/>
      <c r="Y27" s="7"/>
    </row>
    <row r="28" spans="1:25" x14ac:dyDescent="0.3">
      <c r="A28" s="15" t="s">
        <v>37</v>
      </c>
      <c r="B28" s="1" t="s">
        <v>3</v>
      </c>
      <c r="C28" s="1">
        <v>856</v>
      </c>
      <c r="U28" s="7"/>
      <c r="V28" s="7"/>
      <c r="W28" s="7"/>
      <c r="X28" s="7"/>
      <c r="Y28" s="7"/>
    </row>
    <row r="29" spans="1:25" x14ac:dyDescent="0.3">
      <c r="A29" s="1" t="s">
        <v>38</v>
      </c>
      <c r="B29" s="1" t="s">
        <v>5</v>
      </c>
      <c r="C29" s="1">
        <v>562</v>
      </c>
      <c r="F29" s="12" t="s">
        <v>34</v>
      </c>
      <c r="G29" s="12" t="s">
        <v>47</v>
      </c>
      <c r="H29" s="12" t="s">
        <v>36</v>
      </c>
      <c r="U29" s="7"/>
      <c r="V29" s="7"/>
      <c r="W29" s="7"/>
      <c r="X29" s="7"/>
      <c r="Y29" s="7"/>
    </row>
    <row r="30" spans="1:25" x14ac:dyDescent="0.3">
      <c r="A30" s="1" t="s">
        <v>39</v>
      </c>
      <c r="B30" s="1" t="s">
        <v>6</v>
      </c>
      <c r="C30" s="1">
        <v>487</v>
      </c>
      <c r="F30" t="s">
        <v>49</v>
      </c>
      <c r="G30" t="str">
        <f>VLOOKUP(F30,A27:C37,2,FALSE)</f>
        <v>I</v>
      </c>
      <c r="H30">
        <f>VLOOKUP(G30,B27:C37,2,FALSE)</f>
        <v>665</v>
      </c>
      <c r="U30" s="7"/>
      <c r="V30" s="7"/>
      <c r="W30" s="7"/>
      <c r="X30" s="7"/>
      <c r="Y30" s="7"/>
    </row>
    <row r="31" spans="1:25" x14ac:dyDescent="0.3">
      <c r="A31" s="1" t="s">
        <v>40</v>
      </c>
      <c r="B31" s="1" t="s">
        <v>7</v>
      </c>
      <c r="C31" s="1">
        <v>895</v>
      </c>
      <c r="U31" s="7"/>
      <c r="V31" s="7"/>
      <c r="W31" s="7"/>
      <c r="X31" s="7"/>
      <c r="Y31" s="7"/>
    </row>
    <row r="32" spans="1:25" x14ac:dyDescent="0.3">
      <c r="A32" s="1" t="s">
        <v>41</v>
      </c>
      <c r="B32" s="1" t="s">
        <v>8</v>
      </c>
      <c r="C32" s="1">
        <v>687</v>
      </c>
      <c r="U32" s="7"/>
      <c r="V32" s="7"/>
      <c r="W32" s="7"/>
      <c r="X32" s="7"/>
      <c r="Y32" s="7"/>
    </row>
    <row r="33" spans="1:25" x14ac:dyDescent="0.3">
      <c r="A33" s="1" t="s">
        <v>42</v>
      </c>
      <c r="B33" s="1" t="s">
        <v>12</v>
      </c>
      <c r="C33" s="1">
        <v>783</v>
      </c>
      <c r="U33" s="7"/>
      <c r="V33" s="7"/>
      <c r="W33" s="7"/>
      <c r="X33" s="7"/>
      <c r="Y33" s="7"/>
    </row>
    <row r="34" spans="1:25" x14ac:dyDescent="0.3">
      <c r="A34" s="1" t="s">
        <v>48</v>
      </c>
      <c r="B34" s="1" t="s">
        <v>9</v>
      </c>
      <c r="C34" s="1">
        <v>789</v>
      </c>
      <c r="U34" s="7"/>
      <c r="V34" s="7"/>
      <c r="W34" s="7"/>
      <c r="X34" s="7"/>
      <c r="Y34" s="7"/>
    </row>
    <row r="35" spans="1:25" x14ac:dyDescent="0.3">
      <c r="A35" s="1" t="s">
        <v>44</v>
      </c>
      <c r="B35" s="1" t="s">
        <v>10</v>
      </c>
      <c r="C35" s="1">
        <v>8798</v>
      </c>
      <c r="U35" s="7"/>
      <c r="V35" s="7"/>
      <c r="W35" s="7"/>
      <c r="X35" s="7"/>
      <c r="Y35" s="7"/>
    </row>
    <row r="36" spans="1:25" x14ac:dyDescent="0.3">
      <c r="A36" s="1" t="s">
        <v>45</v>
      </c>
      <c r="B36" s="1" t="s">
        <v>11</v>
      </c>
      <c r="C36" s="1">
        <v>665</v>
      </c>
      <c r="U36" s="7"/>
      <c r="V36" s="7"/>
      <c r="W36" s="7"/>
      <c r="X36" s="7"/>
      <c r="Y36" s="7"/>
    </row>
    <row r="37" spans="1:25" x14ac:dyDescent="0.3">
      <c r="A37" s="1" t="s">
        <v>46</v>
      </c>
      <c r="B37" s="1" t="s">
        <v>13</v>
      </c>
      <c r="C37" s="1">
        <v>695</v>
      </c>
      <c r="U37" s="7"/>
      <c r="V37" s="7"/>
      <c r="W37" s="7"/>
      <c r="X37" s="7"/>
      <c r="Y37" s="7"/>
    </row>
    <row r="38" spans="1:25" x14ac:dyDescent="0.3">
      <c r="U38" s="7"/>
      <c r="V38" s="7"/>
      <c r="W38" s="7"/>
      <c r="X38" s="7"/>
      <c r="Y38" s="7"/>
    </row>
    <row r="39" spans="1:25" x14ac:dyDescent="0.3">
      <c r="U39" s="7"/>
      <c r="V39" s="7"/>
      <c r="W39" s="7"/>
      <c r="X39" s="7"/>
      <c r="Y39" s="7"/>
    </row>
    <row r="40" spans="1:25" x14ac:dyDescent="0.3">
      <c r="U40" s="7"/>
      <c r="V40" s="7"/>
      <c r="W40" s="7"/>
      <c r="X40" s="7"/>
      <c r="Y40" s="7"/>
    </row>
    <row r="41" spans="1:25" x14ac:dyDescent="0.3">
      <c r="U41" s="7"/>
      <c r="V41" s="7"/>
      <c r="W41" s="7"/>
      <c r="X41" s="7"/>
      <c r="Y41" s="7"/>
    </row>
    <row r="42" spans="1:25" x14ac:dyDescent="0.3">
      <c r="U42" s="7"/>
      <c r="V42" s="7"/>
      <c r="W42" s="7"/>
      <c r="X42" s="7"/>
      <c r="Y42" s="7"/>
    </row>
    <row r="43" spans="1:25" x14ac:dyDescent="0.3">
      <c r="U43" s="7"/>
      <c r="V43" s="7"/>
      <c r="W43" s="7"/>
      <c r="X43" s="7"/>
      <c r="Y43" s="7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Ninad Malekar</dc:creator>
  <cp:lastModifiedBy>Ninad Malekar</cp:lastModifiedBy>
  <dcterms:created xsi:type="dcterms:W3CDTF">2026-07-03T05:57:13Z</dcterms:created>
  <dcterms:modified xsi:type="dcterms:W3CDTF">2026-07-10T07:47:37Z</dcterms:modified>
</cp:coreProperties>
</file>